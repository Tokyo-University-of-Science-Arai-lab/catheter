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対応付け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内訳</t>
        </is>
      </c>
    </row>
    <row r="2">
      <c r="A2" t="inlineStr">
        <is>
          <t>総件数</t>
        </is>
      </c>
      <c r="B2">
        <f>(COUNTA('対応付け結果'!C:C)-1)</f>
        <v/>
      </c>
      <c r="C2" t="inlineStr"/>
    </row>
    <row r="3">
      <c r="A3" t="inlineStr">
        <is>
          <t>対応付け率(目視確認T)</t>
        </is>
      </c>
      <c r="B3" s="2">
        <f>COUNTIF('対応付け結果'!E:E,"T")/(COUNTA('対応付け結果'!C:C)-1)</f>
        <v/>
      </c>
      <c r="C3">
        <f>COUNTIF('対応付け結果'!E:E,"T")&amp;"/"&amp;(COUNTA('対応付け結果'!C:C)-1)</f>
        <v/>
      </c>
    </row>
    <row r="4">
      <c r="A4" t="inlineStr">
        <is>
          <t>誤対応付け率(目視確認F)</t>
        </is>
      </c>
      <c r="B4" s="2">
        <f>COUNTIF('対応付け結果'!E:E,"F")/(COUNTA('対応付け結果'!C:C)-1)</f>
        <v/>
      </c>
      <c r="C4">
        <f>COUNTIF('対応付け結果'!E:E,"F")&amp;"/"&amp;(COUNTA('対応付け結果'!C:C)-1)</f>
        <v/>
      </c>
    </row>
    <row r="5">
      <c r="A5" t="inlineStr">
        <is>
          <t>該当なし率(対応付け結果)</t>
        </is>
      </c>
      <c r="B5" s="2">
        <f>COUNTIF('対応付け結果'!F:F,"該当なし")/(COUNTA('対応付け結果'!C:C)-1)</f>
        <v/>
      </c>
      <c r="C5">
        <f>COUNTIF('対応付け結果'!F:F,"該当なし")&amp;"/"&amp;(COUNTA('対応付け結果'!C:C)-1)</f>
        <v/>
      </c>
    </row>
    <row r="6">
      <c r="A6" t="inlineStr">
        <is>
          <t>対応ありの正解率(原因分析用)</t>
        </is>
      </c>
      <c r="B6" s="2">
        <f>COUNTIFS('対応付け結果'!F:F,"&lt;&gt;該当なし",'対応付け結果'!E:E,"T")/((COUNTA('対応付け結果'!C:C)-1)-COUNTIF('対応付け結果'!F:F,"該当なし"))</f>
        <v/>
      </c>
      <c r="C6">
        <f>COUNTIFS('対応付け結果'!F:F,"&lt;&gt;該当なし",'対応付け結果'!E:E,"T")&amp;"/"&amp;((COUNTA('対応付け結果'!C:C)-1)-COUNTIF('対応付け結果'!F:F,"該当なし"))</f>
        <v/>
      </c>
    </row>
    <row r="7">
      <c r="A7" t="inlineStr">
        <is>
          <t>該当なしの正解率(原因分析用)</t>
        </is>
      </c>
      <c r="B7" s="2">
        <f>COUNTIFS('対応付け結果'!F:F,"該当なし",'対応付け結果'!E:E,"T")/COUNTIF('対応付け結果'!F:F,"該当なし")</f>
        <v/>
      </c>
      <c r="C7">
        <f>COUNTIFS('対応付け結果'!F:F,"該当なし",'対応付け結果'!E:E,"T")&amp;"/"&amp;COUNTIF('対応付け結果'!F:F,"該当なし")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0" customWidth="1" min="15" max="15"/>
    <col width="24" customWidth="1" min="16" max="16"/>
  </cols>
  <sheetData>
    <row r="1">
      <c r="A1" s="3" t="inlineStr">
        <is>
          <t>認識した順番</t>
        </is>
      </c>
      <c r="B1" s="3" t="inlineStr">
        <is>
          <t>画像</t>
        </is>
      </c>
      <c r="C1" s="3" t="inlineStr">
        <is>
          <t>query(book_name)</t>
        </is>
      </c>
      <c r="D1" s="3" t="inlineStr">
        <is>
          <t>display_name</t>
        </is>
      </c>
      <c r="E1" s="3" t="inlineStr">
        <is>
          <t>目視確認(T/F)</t>
        </is>
      </c>
      <c r="F1" s="3" t="inlineStr">
        <is>
          <t>対応付け結果</t>
        </is>
      </c>
      <c r="G1" s="3" t="inlineStr">
        <is>
          <t>スコア(合計)</t>
        </is>
      </c>
      <c r="H1" s="3" t="inlineStr">
        <is>
          <t>勝ったキー</t>
        </is>
      </c>
      <c r="I1" s="3" t="inlineStr">
        <is>
          <t>REFスコア</t>
        </is>
      </c>
      <c r="J1" s="3" t="inlineStr">
        <is>
          <t>display_nameスコア</t>
        </is>
      </c>
      <c r="K1" s="3" t="inlineStr">
        <is>
          <t>日付スコア</t>
        </is>
      </c>
      <c r="L1" s="3" t="inlineStr">
        <is>
          <t>spec_1スコア</t>
        </is>
      </c>
      <c r="M1" s="3" t="inlineStr">
        <is>
          <t>spec_2スコア</t>
        </is>
      </c>
      <c r="N1" s="3" t="inlineStr">
        <is>
          <t>識別確信度(confident)</t>
        </is>
      </c>
      <c r="O1" s="3" t="inlineStr">
        <is>
          <t>画像ファイル名</t>
        </is>
      </c>
      <c r="P1" s="3" t="inlineStr">
        <is>
          <t>メモ</t>
        </is>
      </c>
    </row>
    <row r="2">
      <c r="A2" s="4" t="n">
        <v>1</v>
      </c>
      <c r="B2" s="4" t="inlineStr">
        <is>
          <t>1</t>
        </is>
      </c>
      <c r="C2" s="4" t="inlineStr">
        <is>
          <t>10CSW02020</t>
        </is>
      </c>
      <c r="D2" s="4" t="inlineStr">
        <is>
          <t>Wallaby Avenir Coil System</t>
        </is>
      </c>
      <c r="E2" s="4" t="inlineStr"/>
      <c r="F2" s="4" t="inlineStr">
        <is>
          <t>該当なし</t>
        </is>
      </c>
      <c r="G2" s="4" t="n"/>
      <c r="H2" s="4" t="inlineStr"/>
      <c r="I2" s="4" t="n"/>
      <c r="J2" s="4" t="n"/>
      <c r="K2" s="4" t="n"/>
      <c r="L2" s="4" t="n"/>
      <c r="M2" s="4" t="n"/>
      <c r="N2" s="4" t="inlineStr"/>
      <c r="O2" s="4" t="inlineStr">
        <is>
          <t>1-1-10CSW02020.png</t>
        </is>
      </c>
      <c r="P2" s="4" t="inlineStr"/>
    </row>
    <row r="3">
      <c r="A3" t="n">
        <v>2</v>
      </c>
      <c r="B3" t="inlineStr">
        <is>
          <t>1</t>
        </is>
      </c>
      <c r="C3" t="inlineStr">
        <is>
          <t>AIN-CKI-200R</t>
        </is>
      </c>
      <c r="D3" t="inlineStr">
        <is>
          <t>CHIKAI</t>
        </is>
      </c>
      <c r="E3" t="inlineStr"/>
      <c r="F3" t="inlineStr">
        <is>
          <t>mask_20</t>
        </is>
      </c>
      <c r="G3" t="n">
        <v>100</v>
      </c>
      <c r="H3" t="inlineStr">
        <is>
          <t>spec_2</t>
        </is>
      </c>
      <c r="I3" t="n">
        <v>41.7</v>
      </c>
      <c r="J3" t="n">
        <v>100</v>
      </c>
      <c r="K3" t="n">
        <v>0</v>
      </c>
      <c r="L3" t="n">
        <v>0</v>
      </c>
      <c r="M3" t="n">
        <v>100</v>
      </c>
      <c r="N3" t="inlineStr"/>
      <c r="O3" t="inlineStr">
        <is>
          <t>1-2-AIN-CKI-200R.png</t>
        </is>
      </c>
      <c r="P3" t="inlineStr"/>
    </row>
    <row r="4">
      <c r="A4" s="4" t="n">
        <v>3</v>
      </c>
      <c r="B4" s="4" t="inlineStr">
        <is>
          <t>1</t>
        </is>
      </c>
      <c r="C4" s="4" t="inlineStr">
        <is>
          <t>MONORAIL</t>
        </is>
      </c>
      <c r="D4" s="4" t="inlineStr">
        <is>
          <t>Coyote ES</t>
        </is>
      </c>
      <c r="E4" s="4" t="inlineStr"/>
      <c r="F4" s="4" t="inlineStr">
        <is>
          <t>該当なし</t>
        </is>
      </c>
      <c r="G4" s="4" t="n"/>
      <c r="H4" s="4" t="inlineStr"/>
      <c r="I4" s="4" t="n"/>
      <c r="J4" s="4" t="n"/>
      <c r="K4" s="4" t="n"/>
      <c r="L4" s="4" t="n"/>
      <c r="M4" s="4" t="n"/>
      <c r="N4" s="4" t="inlineStr"/>
      <c r="O4" s="4" t="inlineStr">
        <is>
          <t>1-3-MONORAIL.png</t>
        </is>
      </c>
      <c r="P4" s="4" t="inlineStr"/>
    </row>
    <row r="5">
      <c r="A5" t="n">
        <v>4</v>
      </c>
      <c r="B5" t="inlineStr">
        <is>
          <t>1</t>
        </is>
      </c>
      <c r="C5" t="inlineStr">
        <is>
          <t>ESC0407</t>
        </is>
      </c>
      <c r="D5" t="inlineStr">
        <is>
          <t>TransForm</t>
        </is>
      </c>
      <c r="E5" t="inlineStr"/>
      <c r="F5" t="inlineStr">
        <is>
          <t>mask_3</t>
        </is>
      </c>
      <c r="G5" t="n">
        <v>100</v>
      </c>
      <c r="H5" t="inlineStr">
        <is>
          <t>display_name</t>
        </is>
      </c>
      <c r="I5" t="n">
        <v>100</v>
      </c>
      <c r="J5" t="n">
        <v>100</v>
      </c>
      <c r="K5" t="n">
        <v>62.5</v>
      </c>
      <c r="L5" t="n">
        <v>0</v>
      </c>
      <c r="M5" t="n">
        <v>0</v>
      </c>
      <c r="N5" t="inlineStr"/>
      <c r="O5" t="inlineStr">
        <is>
          <t>1-4-ESC0407.png</t>
        </is>
      </c>
      <c r="P5" t="inlineStr"/>
    </row>
    <row r="6">
      <c r="A6" s="4" t="n">
        <v>5</v>
      </c>
      <c r="B6" s="4" t="inlineStr">
        <is>
          <t>1</t>
        </is>
      </c>
      <c r="C6" s="4" t="inlineStr">
        <is>
          <t>MAT-110-110</t>
        </is>
      </c>
      <c r="D6" s="4" t="inlineStr">
        <is>
          <t>Riptide Large Bore Aspiration Tubing</t>
        </is>
      </c>
      <c r="E6" s="4" t="inlineStr"/>
      <c r="F6" s="4" t="inlineStr">
        <is>
          <t>該当なし</t>
        </is>
      </c>
      <c r="G6" s="4" t="n"/>
      <c r="H6" s="4" t="inlineStr"/>
      <c r="I6" s="4" t="n"/>
      <c r="J6" s="4" t="n"/>
      <c r="K6" s="4" t="n"/>
      <c r="L6" s="4" t="n"/>
      <c r="M6" s="4" t="n"/>
      <c r="N6" s="4" t="inlineStr"/>
      <c r="O6" s="4" t="inlineStr">
        <is>
          <t>1-5-MAT-110-110.png</t>
        </is>
      </c>
      <c r="P6" s="4" t="inlineStr"/>
    </row>
    <row r="7">
      <c r="A7" t="n">
        <v>6</v>
      </c>
      <c r="B7" t="inlineStr">
        <is>
          <t>1</t>
        </is>
      </c>
      <c r="C7" t="inlineStr">
        <is>
          <t>XT275081</t>
        </is>
      </c>
      <c r="D7" t="inlineStr">
        <is>
          <t>Excelsior XT-27</t>
        </is>
      </c>
      <c r="E7" t="inlineStr"/>
      <c r="F7" t="inlineStr">
        <is>
          <t>mask_1</t>
        </is>
      </c>
      <c r="G7" t="n">
        <v>100</v>
      </c>
      <c r="H7" t="inlineStr">
        <is>
          <t>ref</t>
        </is>
      </c>
      <c r="I7" t="n">
        <v>100</v>
      </c>
      <c r="J7" t="n">
        <v>93.3</v>
      </c>
      <c r="K7" t="n">
        <v>75</v>
      </c>
      <c r="L7" t="n">
        <v>0</v>
      </c>
      <c r="M7" t="n">
        <v>0</v>
      </c>
      <c r="N7" t="inlineStr"/>
      <c r="O7" t="inlineStr">
        <is>
          <t>1-6-XT275081.png</t>
        </is>
      </c>
      <c r="P7" t="inlineStr"/>
    </row>
    <row r="8">
      <c r="A8" t="n">
        <v>7</v>
      </c>
      <c r="B8" t="inlineStr">
        <is>
          <t>1</t>
        </is>
      </c>
      <c r="C8" t="inlineStr">
        <is>
          <t>OPTI0408CSS10</t>
        </is>
      </c>
      <c r="D8" t="inlineStr">
        <is>
          <t>OPTIMA</t>
        </is>
      </c>
      <c r="E8" t="inlineStr"/>
      <c r="F8" t="inlineStr">
        <is>
          <t>mask_16</t>
        </is>
      </c>
      <c r="G8" t="n">
        <v>100</v>
      </c>
      <c r="H8" t="inlineStr">
        <is>
          <t>spec_1</t>
        </is>
      </c>
      <c r="I8" t="n">
        <v>47.6</v>
      </c>
      <c r="J8" t="n">
        <v>100</v>
      </c>
      <c r="K8" t="n">
        <v>0</v>
      </c>
      <c r="L8" t="n">
        <v>100</v>
      </c>
      <c r="M8" t="n">
        <v>100</v>
      </c>
      <c r="N8" t="inlineStr"/>
      <c r="O8" t="inlineStr">
        <is>
          <t>1-7-OPTI0408CSS10.png</t>
        </is>
      </c>
      <c r="P8" t="inlineStr"/>
    </row>
    <row r="9">
      <c r="A9" t="n">
        <v>8</v>
      </c>
      <c r="B9" t="inlineStr">
        <is>
          <t>1</t>
        </is>
      </c>
      <c r="C9" t="inlineStr">
        <is>
          <t>ESC0305</t>
        </is>
      </c>
      <c r="D9" t="inlineStr">
        <is>
          <t>TransForm</t>
        </is>
      </c>
      <c r="E9" t="inlineStr"/>
      <c r="F9" t="inlineStr">
        <is>
          <t>mask_5</t>
        </is>
      </c>
      <c r="G9" t="n">
        <v>100</v>
      </c>
      <c r="H9" t="inlineStr">
        <is>
          <t>spec_1</t>
        </is>
      </c>
      <c r="I9" t="n">
        <v>100</v>
      </c>
      <c r="J9" t="n">
        <v>100</v>
      </c>
      <c r="K9" t="n">
        <v>100</v>
      </c>
      <c r="L9" t="n">
        <v>100</v>
      </c>
      <c r="M9" t="n">
        <v>80</v>
      </c>
      <c r="N9" t="inlineStr"/>
      <c r="O9" t="inlineStr">
        <is>
          <t>1-8-ESC0305.png</t>
        </is>
      </c>
      <c r="P9" t="inlineStr"/>
    </row>
    <row r="10">
      <c r="A10" t="n">
        <v>9</v>
      </c>
      <c r="B10" t="inlineStr">
        <is>
          <t>1</t>
        </is>
      </c>
      <c r="C10" t="inlineStr">
        <is>
          <t>MIV-2N316</t>
        </is>
      </c>
      <c r="D10" t="inlineStr">
        <is>
          <t>Defrictor</t>
        </is>
      </c>
      <c r="E10" t="inlineStr"/>
      <c r="F10" t="inlineStr">
        <is>
          <t>mask_21</t>
        </is>
      </c>
      <c r="G10" t="n">
        <v>100</v>
      </c>
      <c r="H10" t="inlineStr">
        <is>
          <t>display_name</t>
        </is>
      </c>
      <c r="I10" t="n">
        <v>77.8</v>
      </c>
      <c r="J10" t="n">
        <v>100</v>
      </c>
      <c r="K10" t="n">
        <v>80</v>
      </c>
      <c r="L10" t="n">
        <v>0</v>
      </c>
      <c r="M10" t="n">
        <v>0</v>
      </c>
      <c r="N10" t="inlineStr"/>
      <c r="O10" t="inlineStr">
        <is>
          <t>1-9-MIV-2N316.png</t>
        </is>
      </c>
      <c r="P10" t="inlineStr"/>
    </row>
    <row r="11">
      <c r="A11" t="n">
        <v>10</v>
      </c>
      <c r="B11" t="inlineStr">
        <is>
          <t>1</t>
        </is>
      </c>
      <c r="C11" t="inlineStr">
        <is>
          <t>OPTI0152CSS10</t>
        </is>
      </c>
      <c r="D11" t="inlineStr">
        <is>
          <t>OPTIMA</t>
        </is>
      </c>
      <c r="E11" t="inlineStr"/>
      <c r="F11" t="inlineStr">
        <is>
          <t>mask_24</t>
        </is>
      </c>
      <c r="G11" t="n">
        <v>100</v>
      </c>
      <c r="H11" t="inlineStr">
        <is>
          <t>spec_2</t>
        </is>
      </c>
      <c r="I11" t="n">
        <v>69.2</v>
      </c>
      <c r="J11" t="n">
        <v>100</v>
      </c>
      <c r="K11" t="n">
        <v>53.3</v>
      </c>
      <c r="L11" t="n">
        <v>80</v>
      </c>
      <c r="M11" t="n">
        <v>100</v>
      </c>
      <c r="N11" t="inlineStr"/>
      <c r="O11" t="inlineStr">
        <is>
          <t>1-10-OPTI0152CSS10.png</t>
        </is>
      </c>
      <c r="P11" t="inlineStr"/>
    </row>
    <row r="12">
      <c r="A12" t="n">
        <v>11</v>
      </c>
      <c r="B12" t="inlineStr">
        <is>
          <t>1</t>
        </is>
      </c>
      <c r="C12" t="inlineStr">
        <is>
          <t>C1775ST</t>
        </is>
      </c>
      <c r="D12" t="inlineStr">
        <is>
          <t>Excelsior XT-17</t>
        </is>
      </c>
      <c r="E12" t="inlineStr"/>
      <c r="F12" t="inlineStr">
        <is>
          <t>mask_12</t>
        </is>
      </c>
      <c r="G12" t="n">
        <v>80</v>
      </c>
      <c r="H12" t="inlineStr">
        <is>
          <t>spec_1</t>
        </is>
      </c>
      <c r="I12" t="n">
        <v>85.7</v>
      </c>
      <c r="J12" t="n">
        <v>93.3</v>
      </c>
      <c r="K12" t="n">
        <v>100</v>
      </c>
      <c r="L12" t="n">
        <v>80</v>
      </c>
      <c r="M12" t="n">
        <v>0</v>
      </c>
      <c r="N12" t="inlineStr"/>
      <c r="O12" t="inlineStr">
        <is>
          <t>1-11-C1775ST.png</t>
        </is>
      </c>
      <c r="P12" t="inlineStr"/>
    </row>
    <row r="13">
      <c r="A13" t="n">
        <v>12</v>
      </c>
      <c r="B13" t="inlineStr">
        <is>
          <t>1</t>
        </is>
      </c>
      <c r="C13" t="inlineStr">
        <is>
          <t>FG13160-0615-1S</t>
        </is>
      </c>
      <c r="D13" t="inlineStr">
        <is>
          <t>Phenom</t>
        </is>
      </c>
      <c r="E13" t="inlineStr"/>
      <c r="F13" t="inlineStr">
        <is>
          <t>mask_19</t>
        </is>
      </c>
      <c r="G13" t="n">
        <v>100</v>
      </c>
      <c r="H13" t="inlineStr">
        <is>
          <t>spec_2</t>
        </is>
      </c>
      <c r="I13" t="n">
        <v>86.7</v>
      </c>
      <c r="J13" t="n">
        <v>33.3</v>
      </c>
      <c r="K13" t="n">
        <v>100</v>
      </c>
      <c r="L13" t="n">
        <v>80</v>
      </c>
      <c r="M13" t="n">
        <v>100</v>
      </c>
      <c r="N13" t="inlineStr"/>
      <c r="O13" t="inlineStr">
        <is>
          <t>1-12-FG13160-0615-1S.png</t>
        </is>
      </c>
      <c r="P13" t="inlineStr"/>
    </row>
    <row r="14">
      <c r="A14" t="n">
        <v>13</v>
      </c>
      <c r="B14" t="inlineStr">
        <is>
          <t>1</t>
        </is>
      </c>
      <c r="C14" t="inlineStr">
        <is>
          <t>DAC6F115</t>
        </is>
      </c>
      <c r="D14" t="inlineStr">
        <is>
          <t>Esperance Distal Access Catheter</t>
        </is>
      </c>
      <c r="E14" t="inlineStr"/>
      <c r="F14" t="inlineStr">
        <is>
          <t>mask_6</t>
        </is>
      </c>
      <c r="G14" t="n">
        <v>100</v>
      </c>
      <c r="H14" t="inlineStr">
        <is>
          <t>spec_1</t>
        </is>
      </c>
      <c r="I14" t="n">
        <v>62.5</v>
      </c>
      <c r="J14" t="n">
        <v>87.5</v>
      </c>
      <c r="K14" t="n">
        <v>0</v>
      </c>
      <c r="L14" t="n">
        <v>100</v>
      </c>
      <c r="M14" t="n">
        <v>100</v>
      </c>
      <c r="N14" t="inlineStr"/>
      <c r="O14" t="inlineStr">
        <is>
          <t>1-13-DAC6F115.png</t>
        </is>
      </c>
      <c r="P14" t="inlineStr"/>
    </row>
    <row r="15">
      <c r="A15" t="n">
        <v>14</v>
      </c>
      <c r="B15" t="inlineStr">
        <is>
          <t>1</t>
        </is>
      </c>
      <c r="C15" t="inlineStr">
        <is>
          <t>SD-40040</t>
        </is>
      </c>
      <c r="D15" t="inlineStr">
        <is>
          <t>SHIDEN</t>
        </is>
      </c>
      <c r="E15" t="inlineStr"/>
      <c r="F15" t="inlineStr">
        <is>
          <t>mask_26</t>
        </is>
      </c>
      <c r="G15" t="n">
        <v>100</v>
      </c>
      <c r="H15" t="inlineStr">
        <is>
          <t>display_name</t>
        </is>
      </c>
      <c r="I15" t="n">
        <v>100</v>
      </c>
      <c r="J15" t="n">
        <v>100</v>
      </c>
      <c r="K15" t="n">
        <v>35.3</v>
      </c>
      <c r="L15" t="n">
        <v>0</v>
      </c>
      <c r="M15" t="n">
        <v>0</v>
      </c>
      <c r="N15" t="inlineStr"/>
      <c r="O15" t="inlineStr">
        <is>
          <t>1-14-SD-40040.png</t>
        </is>
      </c>
      <c r="P15" t="inlineStr"/>
    </row>
    <row r="16">
      <c r="A16" t="n">
        <v>15</v>
      </c>
      <c r="B16" t="inlineStr">
        <is>
          <t>1</t>
        </is>
      </c>
      <c r="C16" t="inlineStr">
        <is>
          <t>KMDA044178</t>
        </is>
      </c>
      <c r="D16" t="inlineStr">
        <is>
          <t>Guidepost</t>
        </is>
      </c>
      <c r="E16" t="inlineStr"/>
      <c r="F16" t="inlineStr">
        <is>
          <t>mask_2</t>
        </is>
      </c>
      <c r="G16" t="n">
        <v>100</v>
      </c>
      <c r="H16" t="inlineStr">
        <is>
          <t>spec_1</t>
        </is>
      </c>
      <c r="I16" t="n">
        <v>100</v>
      </c>
      <c r="J16" t="n">
        <v>11.8</v>
      </c>
      <c r="K16" t="n">
        <v>14.3</v>
      </c>
      <c r="L16" t="n">
        <v>100</v>
      </c>
      <c r="M16" t="n">
        <v>100</v>
      </c>
      <c r="N16" t="inlineStr"/>
      <c r="O16" t="inlineStr">
        <is>
          <t>1-15-KMDA044178.png</t>
        </is>
      </c>
      <c r="P16" t="inlineStr"/>
    </row>
    <row r="17">
      <c r="A17" t="n">
        <v>16</v>
      </c>
      <c r="B17" t="inlineStr">
        <is>
          <t>1</t>
        </is>
      </c>
      <c r="C17" t="inlineStr">
        <is>
          <t>APB-1.5-2-HX-ES</t>
        </is>
      </c>
      <c r="D17" t="inlineStr">
        <is>
          <t>Axium Prime</t>
        </is>
      </c>
      <c r="E17" t="inlineStr"/>
      <c r="F17" t="inlineStr">
        <is>
          <t>mask_27</t>
        </is>
      </c>
      <c r="G17" t="n">
        <v>80</v>
      </c>
      <c r="H17" t="inlineStr">
        <is>
          <t>spec_1</t>
        </is>
      </c>
      <c r="I17" t="n">
        <v>86.7</v>
      </c>
      <c r="J17" t="n">
        <v>50</v>
      </c>
      <c r="K17" t="n">
        <v>100</v>
      </c>
      <c r="L17" t="n">
        <v>80</v>
      </c>
      <c r="M17" t="n">
        <v>80</v>
      </c>
      <c r="N17" t="inlineStr"/>
      <c r="O17" t="inlineStr">
        <is>
          <t>1-16-APB-1.5-2-HX-ES.png</t>
        </is>
      </c>
      <c r="P17" t="inlineStr"/>
    </row>
    <row r="18">
      <c r="A18" s="4" t="n">
        <v>17</v>
      </c>
      <c r="B18" s="4" t="inlineStr">
        <is>
          <t>1</t>
        </is>
      </c>
      <c r="C18" s="4" t="inlineStr">
        <is>
          <t>SS2-40-070H</t>
        </is>
      </c>
      <c r="D18" s="4" t="inlineStr">
        <is>
          <t>SHOURYU2</t>
        </is>
      </c>
      <c r="E18" s="4" t="inlineStr"/>
      <c r="F18" s="4" t="inlineStr">
        <is>
          <t>該当なし</t>
        </is>
      </c>
      <c r="G18" s="4" t="n"/>
      <c r="H18" s="4" t="inlineStr"/>
      <c r="I18" s="4" t="n"/>
      <c r="J18" s="4" t="n"/>
      <c r="K18" s="4" t="n"/>
      <c r="L18" s="4" t="n"/>
      <c r="M18" s="4" t="n"/>
      <c r="N18" s="4" t="inlineStr"/>
      <c r="O18" s="4" t="inlineStr">
        <is>
          <t>1-17-SS2-40-070H.png</t>
        </is>
      </c>
      <c r="P18" s="4" t="inlineStr"/>
    </row>
    <row r="19">
      <c r="A19" t="n">
        <v>18</v>
      </c>
      <c r="B19" t="inlineStr">
        <is>
          <t>1</t>
        </is>
      </c>
      <c r="C19" t="inlineStr">
        <is>
          <t>1681189</t>
        </is>
      </c>
      <c r="D19" t="inlineStr">
        <is>
          <t>Excelsior SL-10</t>
        </is>
      </c>
      <c r="E19" t="inlineStr"/>
      <c r="F19" t="inlineStr">
        <is>
          <t>mask_18</t>
        </is>
      </c>
      <c r="G19" t="n">
        <v>100</v>
      </c>
      <c r="H19" t="inlineStr">
        <is>
          <t>spec_1</t>
        </is>
      </c>
      <c r="I19" t="n">
        <v>85.7</v>
      </c>
      <c r="J19" t="n">
        <v>93.3</v>
      </c>
      <c r="K19" t="n">
        <v>100</v>
      </c>
      <c r="L19" t="n">
        <v>100</v>
      </c>
      <c r="M19" t="n">
        <v>0</v>
      </c>
      <c r="N19" t="inlineStr"/>
      <c r="O19" t="inlineStr">
        <is>
          <t>1-18-1681189.png</t>
        </is>
      </c>
      <c r="P19" t="inlineStr"/>
    </row>
    <row r="20">
      <c r="A20" t="n">
        <v>19</v>
      </c>
      <c r="B20" t="inlineStr">
        <is>
          <t>1</t>
        </is>
      </c>
      <c r="C20" t="inlineStr">
        <is>
          <t>10CSW01010</t>
        </is>
      </c>
      <c r="D20" t="inlineStr">
        <is>
          <t>Wallaby Avenir Coil System</t>
        </is>
      </c>
      <c r="E20" t="inlineStr"/>
      <c r="F20" t="inlineStr">
        <is>
          <t>mask_22</t>
        </is>
      </c>
      <c r="G20" t="n">
        <v>80</v>
      </c>
      <c r="H20" t="inlineStr">
        <is>
          <t>spec_2</t>
        </is>
      </c>
      <c r="I20" t="n">
        <v>50</v>
      </c>
      <c r="J20" t="n">
        <v>61.5</v>
      </c>
      <c r="K20" t="n">
        <v>100</v>
      </c>
      <c r="L20" t="n">
        <v>0</v>
      </c>
      <c r="M20" t="n">
        <v>80</v>
      </c>
      <c r="N20" t="inlineStr"/>
      <c r="O20" t="inlineStr">
        <is>
          <t>1-19-10CSW01010.png</t>
        </is>
      </c>
      <c r="P20" t="inlineStr"/>
    </row>
    <row r="21">
      <c r="A21" t="n">
        <v>20</v>
      </c>
      <c r="B21" t="inlineStr">
        <is>
          <t>1</t>
        </is>
      </c>
      <c r="C21" t="inlineStr">
        <is>
          <t>OPTI0204CSS10</t>
        </is>
      </c>
      <c r="D21" t="inlineStr">
        <is>
          <t>OPTIMA</t>
        </is>
      </c>
      <c r="E21" t="inlineStr"/>
      <c r="F21" t="inlineStr">
        <is>
          <t>mask_17</t>
        </is>
      </c>
      <c r="G21" t="n">
        <v>100</v>
      </c>
      <c r="H21" t="inlineStr">
        <is>
          <t>spec_1</t>
        </is>
      </c>
      <c r="I21" t="n">
        <v>47.6</v>
      </c>
      <c r="J21" t="n">
        <v>100</v>
      </c>
      <c r="K21" t="n">
        <v>0</v>
      </c>
      <c r="L21" t="n">
        <v>100</v>
      </c>
      <c r="M21" t="n">
        <v>100</v>
      </c>
      <c r="N21" t="inlineStr"/>
      <c r="O21" t="inlineStr">
        <is>
          <t>1-20-OPTI0204CSS10.png</t>
        </is>
      </c>
      <c r="P21" t="inlineStr"/>
    </row>
    <row r="22">
      <c r="A22" t="n">
        <v>21</v>
      </c>
      <c r="B22" t="inlineStr">
        <is>
          <t>1</t>
        </is>
      </c>
      <c r="C22" t="inlineStr">
        <is>
          <t>SSTD215STR</t>
        </is>
      </c>
      <c r="D22" t="inlineStr">
        <is>
          <t>Synchro SELECT</t>
        </is>
      </c>
      <c r="E22" t="inlineStr"/>
      <c r="F22" t="inlineStr">
        <is>
          <t>mask_15</t>
        </is>
      </c>
      <c r="G22" t="n">
        <v>80</v>
      </c>
      <c r="H22" t="inlineStr">
        <is>
          <t>spec_1</t>
        </is>
      </c>
      <c r="I22" t="n">
        <v>100</v>
      </c>
      <c r="J22" t="n">
        <v>100</v>
      </c>
      <c r="K22" t="n">
        <v>100</v>
      </c>
      <c r="L22" t="n">
        <v>80</v>
      </c>
      <c r="M22" t="n">
        <v>0</v>
      </c>
      <c r="N22" t="inlineStr"/>
      <c r="O22" t="inlineStr">
        <is>
          <t>1-21-SSTD215STR.png</t>
        </is>
      </c>
      <c r="P22" t="inlineStr"/>
    </row>
    <row r="23">
      <c r="A23" t="n">
        <v>22</v>
      </c>
      <c r="B23" t="inlineStr">
        <is>
          <t>1</t>
        </is>
      </c>
      <c r="C23" t="inlineStr">
        <is>
          <t>373-040830</t>
        </is>
      </c>
      <c r="D23" t="inlineStr">
        <is>
          <t>i-ED COIL</t>
        </is>
      </c>
      <c r="E23" t="inlineStr"/>
      <c r="F23" t="inlineStr">
        <is>
          <t>mask_25</t>
        </is>
      </c>
      <c r="G23" t="n">
        <v>80</v>
      </c>
      <c r="H23" t="inlineStr">
        <is>
          <t>spec_1</t>
        </is>
      </c>
      <c r="I23" t="n">
        <v>100</v>
      </c>
      <c r="J23" t="n">
        <v>82.40000000000001</v>
      </c>
      <c r="K23" t="n">
        <v>100</v>
      </c>
      <c r="L23" t="n">
        <v>80</v>
      </c>
      <c r="M23" t="n">
        <v>80</v>
      </c>
      <c r="N23" t="inlineStr"/>
      <c r="O23" t="inlineStr">
        <is>
          <t>1-22-373-040830.png</t>
        </is>
      </c>
      <c r="P23" t="inlineStr"/>
    </row>
    <row r="24">
      <c r="A24" t="n">
        <v>23</v>
      </c>
      <c r="B24" t="inlineStr">
        <is>
          <t>1</t>
        </is>
      </c>
      <c r="C24" t="inlineStr">
        <is>
          <t>612104</t>
        </is>
      </c>
      <c r="D24" t="inlineStr">
        <is>
          <t>Target XL</t>
        </is>
      </c>
      <c r="E24" t="inlineStr"/>
      <c r="F24" t="inlineStr">
        <is>
          <t>mask_23</t>
        </is>
      </c>
      <c r="G24" t="n">
        <v>80</v>
      </c>
      <c r="H24" t="inlineStr">
        <is>
          <t>spec_1</t>
        </is>
      </c>
      <c r="I24" t="n">
        <v>72.7</v>
      </c>
      <c r="J24" t="n">
        <v>33.3</v>
      </c>
      <c r="K24" t="n">
        <v>53.3</v>
      </c>
      <c r="L24" t="n">
        <v>80</v>
      </c>
      <c r="M24" t="n">
        <v>0</v>
      </c>
      <c r="N24" t="inlineStr"/>
      <c r="O24" t="inlineStr">
        <is>
          <t>1-23-612104.png</t>
        </is>
      </c>
      <c r="P24" t="inlineStr"/>
    </row>
    <row r="25">
      <c r="A25" s="4" t="n">
        <v>24</v>
      </c>
      <c r="B25" s="4" t="inlineStr">
        <is>
          <t>1</t>
        </is>
      </c>
      <c r="C25" s="4" t="inlineStr">
        <is>
          <t>MC1715000</t>
        </is>
      </c>
      <c r="D25" s="4" t="inlineStr">
        <is>
          <t>pNOVUS</t>
        </is>
      </c>
      <c r="E25" s="4" t="inlineStr"/>
      <c r="F25" s="4" t="inlineStr">
        <is>
          <t>該当なし</t>
        </is>
      </c>
      <c r="G25" s="4" t="n"/>
      <c r="H25" s="4" t="inlineStr"/>
      <c r="I25" s="4" t="n"/>
      <c r="J25" s="4" t="n"/>
      <c r="K25" s="4" t="n"/>
      <c r="L25" s="4" t="n"/>
      <c r="M25" s="4" t="n"/>
      <c r="N25" s="4" t="inlineStr"/>
      <c r="O25" s="4" t="inlineStr">
        <is>
          <t>1-24-MC1715000.png</t>
        </is>
      </c>
      <c r="P25" s="4" t="inlineStr"/>
    </row>
    <row r="26">
      <c r="A26" s="4" t="n">
        <v>25</v>
      </c>
      <c r="B26" s="4" t="inlineStr">
        <is>
          <t>1</t>
        </is>
      </c>
      <c r="C26" s="4" t="inlineStr">
        <is>
          <t>APB-2-3-HX-ES</t>
        </is>
      </c>
      <c r="D26" s="4" t="inlineStr">
        <is>
          <t>Axium Prime</t>
        </is>
      </c>
      <c r="E26" s="4" t="inlineStr"/>
      <c r="F26" s="4" t="inlineStr">
        <is>
          <t>該当なし</t>
        </is>
      </c>
      <c r="G26" s="4" t="n"/>
      <c r="H26" s="4" t="inlineStr"/>
      <c r="I26" s="4" t="n"/>
      <c r="J26" s="4" t="n"/>
      <c r="K26" s="4" t="n"/>
      <c r="L26" s="4" t="n"/>
      <c r="M26" s="4" t="n"/>
      <c r="N26" s="4" t="inlineStr"/>
      <c r="O26" s="4" t="inlineStr">
        <is>
          <t>1-25-APB-2-3-HX-ES.png</t>
        </is>
      </c>
      <c r="P26" s="4" t="inlineStr"/>
    </row>
  </sheetData>
  <dataValidations count="1">
    <dataValidation sqref="E2:E26" showDropDown="0" showInputMessage="0" showErrorMessage="0" allowBlank="1" type="list">
      <formula1>"T,F"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2026-09-29T12:28:42Z</dcterms:created>
  <dcterms:modified xmlns:dcterms="http://purl.org/dc/terms/" xmlns:xsi="http://www.w3.org/2001/XMLSchema-instance" xsi:type="dcterms:W3CDTF">2026-09-29T12:28:42Z</dcterms:modified>
</cp:coreProperties>
</file>