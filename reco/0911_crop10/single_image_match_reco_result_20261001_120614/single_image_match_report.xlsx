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集計" sheetId="1" state="visible" r:id="rId2"/>
    <sheet name="対応付け結果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<sst xmlns="http://schemas.openxmlformats.org/spreadsheetml/2006/main" count="1301" uniqueCount="473">
  <si>
    <t xml:space="preserve">項目</t>
  </si>
  <si>
    <t xml:space="preserve">値</t>
  </si>
  <si>
    <t xml:space="preserve">内訳</t>
  </si>
  <si>
    <t xml:space="preserve">総件数</t>
  </si>
  <si>
    <r>
      <rPr>
        <sz val="11"/>
        <color rgb="FF000000"/>
        <rFont val="Noto Sans CJK JP"/>
        <family val="2"/>
      </rPr>
      <t xml:space="preserve">対応付け率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JP"/>
        <family val="2"/>
      </rPr>
      <t xml:space="preserve">目視確認</t>
    </r>
    <r>
      <rPr>
        <sz val="11"/>
        <color rgb="FF000000"/>
        <rFont val="Calibri"/>
        <family val="2"/>
        <charset val="1"/>
      </rPr>
      <t xml:space="preserve">T)</t>
    </r>
  </si>
  <si>
    <r>
      <rPr>
        <sz val="11"/>
        <color rgb="FF000000"/>
        <rFont val="Noto Sans CJK JP"/>
        <family val="2"/>
      </rPr>
      <t xml:space="preserve">誤対応付け率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JP"/>
        <family val="2"/>
      </rPr>
      <t xml:space="preserve">目視確認</t>
    </r>
    <r>
      <rPr>
        <sz val="11"/>
        <color rgb="FF000000"/>
        <rFont val="Calibri"/>
        <family val="2"/>
        <charset val="1"/>
      </rPr>
      <t xml:space="preserve">F)</t>
    </r>
  </si>
  <si>
    <r>
      <rPr>
        <sz val="11"/>
        <color rgb="FF000000"/>
        <rFont val="Noto Sans CJK JP"/>
        <family val="2"/>
      </rPr>
      <t xml:space="preserve">該当なし率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JP"/>
        <family val="2"/>
      </rPr>
      <t xml:space="preserve">対応付け結果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</si>
  <si>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JP"/>
        <family val="2"/>
      </rPr>
      <t xml:space="preserve">対応ありの正解率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JP"/>
        <family val="2"/>
      </rPr>
      <t xml:space="preserve">原因分析用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</si>
  <si>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Noto Sans CJK JP"/>
        <family val="2"/>
      </rPr>
      <t xml:space="preserve">該当なしの正解率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Noto Sans CJK JP"/>
        <family val="2"/>
      </rPr>
      <t xml:space="preserve">原因分析用</t>
    </r>
    <r>
      <rPr>
        <sz val="11"/>
        <color rgb="FF000000"/>
        <rFont val="Calibri"/>
        <family val="2"/>
        <charset val="1"/>
      </rPr>
      <t xml:space="preserve">)</t>
    </r>
  </si>
  <si>
    <t xml:space="preserve">認識した順番</t>
  </si>
  <si>
    <t xml:space="preserve">画像</t>
  </si>
  <si>
    <t xml:space="preserve">query(book_name)</t>
  </si>
  <si>
    <t xml:space="preserve">display_name</t>
  </si>
  <si>
    <r>
      <rPr>
        <b val="true"/>
        <sz val="11"/>
        <rFont val="Noto Sans CJK JP"/>
        <family val="2"/>
      </rPr>
      <t xml:space="preserve">目視確認</t>
    </r>
    <r>
      <rPr>
        <b val="true"/>
        <sz val="11"/>
        <rFont val="Cambria"/>
        <family val="0"/>
        <charset val="1"/>
      </rPr>
      <t xml:space="preserve">(T/F)</t>
    </r>
  </si>
  <si>
    <t xml:space="preserve">対応付け結果</t>
  </si>
  <si>
    <t xml:space="preserve">該当なしの理由</t>
  </si>
  <si>
    <r>
      <rPr>
        <b val="true"/>
        <sz val="11"/>
        <rFont val="Noto Sans CJK JP"/>
        <family val="2"/>
      </rPr>
      <t xml:space="preserve">足切りスコア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JP"/>
        <family val="2"/>
      </rPr>
      <t xml:space="preserve">しきい値未満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</si>
  <si>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Noto Sans CJK JP"/>
        <family val="2"/>
      </rPr>
      <t xml:space="preserve">スコア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JP"/>
        <family val="2"/>
      </rPr>
      <t xml:space="preserve">合計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</si>
  <si>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REF</t>
    </r>
    <r>
      <rPr>
        <b val="true"/>
        <sz val="11"/>
        <rFont val="Noto Sans CJK JP"/>
        <family val="2"/>
      </rPr>
      <t xml:space="preserve">スコア</t>
    </r>
  </si>
  <si>
    <r>
      <rPr>
        <b val="true"/>
        <sz val="11"/>
        <rFont val="Cambria"/>
        <family val="0"/>
        <charset val="1"/>
      </rPr>
      <t xml:space="preserve">display_name</t>
    </r>
    <r>
      <rPr>
        <b val="true"/>
        <sz val="11"/>
        <rFont val="Noto Sans CJK JP"/>
        <family val="2"/>
      </rPr>
      <t xml:space="preserve">スコア</t>
    </r>
  </si>
  <si>
    <t xml:space="preserve">日付スコア</t>
  </si>
  <si>
    <r>
      <rPr>
        <b val="true"/>
        <sz val="11"/>
        <rFont val="Cambria"/>
        <family val="0"/>
        <charset val="1"/>
      </rPr>
      <t xml:space="preserve">spec_1</t>
    </r>
    <r>
      <rPr>
        <b val="true"/>
        <sz val="11"/>
        <rFont val="Noto Sans CJK JP"/>
        <family val="2"/>
      </rPr>
      <t xml:space="preserve">スコア</t>
    </r>
  </si>
  <si>
    <r>
      <rPr>
        <b val="true"/>
        <sz val="11"/>
        <rFont val="Cambria"/>
        <family val="0"/>
        <charset val="1"/>
      </rPr>
      <t xml:space="preserve">spec_2</t>
    </r>
    <r>
      <rPr>
        <b val="true"/>
        <sz val="11"/>
        <rFont val="Noto Sans CJK JP"/>
        <family val="2"/>
      </rPr>
      <t xml:space="preserve">スコア</t>
    </r>
  </si>
  <si>
    <t xml:space="preserve">認識した文字列</t>
  </si>
  <si>
    <t xml:space="preserve">足切りしなければ選ばれたマスク</t>
  </si>
  <si>
    <t xml:space="preserve">そのスコア</t>
  </si>
  <si>
    <t xml:space="preserve">画像ファイル名</t>
  </si>
  <si>
    <t xml:space="preserve">メモ</t>
  </si>
  <si>
    <t xml:space="preserve">1</t>
  </si>
  <si>
    <t xml:space="preserve">10CSW02020</t>
  </si>
  <si>
    <t xml:space="preserve">Wallaby Avenir Coil System</t>
  </si>
  <si>
    <t xml:space="preserve">T</t>
  </si>
  <si>
    <t xml:space="preserve">該当なし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</si>
  <si>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(score=224.3)</t>
    </r>
  </si>
  <si>
    <t xml:space="preserve">Eneona SS 2-310 KR045298 303-020310 2020-04-30 12</t>
  </si>
  <si>
    <t xml:space="preserve">mask_13</t>
  </si>
  <si>
    <t xml:space="preserve">1-1-10CSW02020.png</t>
  </si>
  <si>
    <t xml:space="preserve">AIN-CKI-200R</t>
  </si>
  <si>
    <t xml:space="preserve">CHIKAI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</si>
  <si>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(score=206.1)</t>
    </r>
  </si>
  <si>
    <t xml:space="preserve">SHIDEN -- SD-40040 4.0-4015504Fr0.014 RX ANEEA</t>
  </si>
  <si>
    <t xml:space="preserve">mask_26</t>
  </si>
  <si>
    <t xml:space="preserve">1-2-AIN-CKI-200R.png</t>
  </si>
  <si>
    <t xml:space="preserve">MONORAIL</t>
  </si>
  <si>
    <t xml:space="preserve">Coyote ES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</si>
  <si>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(score=284.2)</t>
    </r>
  </si>
  <si>
    <r>
      <rPr>
        <sz val="11"/>
        <color rgb="FF000000"/>
        <rFont val="Noto Sans CJK JP"/>
        <family val="2"/>
      </rPr>
      <t xml:space="preserve">イドワヤは </t>
    </r>
    <r>
      <rPr>
        <sz val="11"/>
        <color rgb="FF000000"/>
        <rFont val="Calibri"/>
        <family val="2"/>
        <charset val="1"/>
      </rPr>
      <t xml:space="preserve">SHOLRU 2HR 4.0 KR046055 2029-03-3 S52-40-070H LANELA MEDICAL T</t>
    </r>
  </si>
  <si>
    <t xml:space="preserve">mask_11</t>
  </si>
  <si>
    <t xml:space="preserve">1-3-MONORAIL.png</t>
  </si>
  <si>
    <t xml:space="preserve">ESC0407</t>
  </si>
  <si>
    <t xml:space="preserve">TransForm</t>
  </si>
  <si>
    <t xml:space="preserve">mask_3</t>
  </si>
  <si>
    <t xml:space="preserve">TransForm BUPEREOMPLIANT 2020-01-26 ESC0407</t>
  </si>
  <si>
    <t xml:space="preserve">1-4-ESC0407.png</t>
  </si>
  <si>
    <t xml:space="preserve">MAT-110-110</t>
  </si>
  <si>
    <t xml:space="preserve">Riptide Large Bore Aspiration Tubing</t>
  </si>
  <si>
    <t xml:space="preserve">F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</si>
  <si>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(score=167.1)</t>
    </r>
  </si>
  <si>
    <t xml:space="preserve">Medtronte 202710.14</t>
  </si>
  <si>
    <t xml:space="preserve">mask_4</t>
  </si>
  <si>
    <t xml:space="preserve">1-5-MAT-110-110.png</t>
  </si>
  <si>
    <t xml:space="preserve">日付以外読み取れていない　マスク選択はできてる</t>
  </si>
  <si>
    <t xml:space="preserve">XT275081</t>
  </si>
  <si>
    <t xml:space="preserve">Excelsior XT-27</t>
  </si>
  <si>
    <t xml:space="preserve">mask_1</t>
  </si>
  <si>
    <t xml:space="preserve">ITIP ExcelsiorXT-27° BTRAIONT 150 XT275081 2028-10-08</t>
  </si>
  <si>
    <t xml:space="preserve">1-6-XT275081.png</t>
  </si>
  <si>
    <t xml:space="preserve">EZAS3021</t>
  </si>
  <si>
    <t xml:space="preserve">Neuroform Atlas</t>
  </si>
  <si>
    <t xml:space="preserve">mask_14</t>
  </si>
  <si>
    <t xml:space="preserve">WITNOUTTIF Neuroform Atlas 3.0 2030-12-09 EZAS3021</t>
  </si>
  <si>
    <t xml:space="preserve">1-7-EZAS3021.png</t>
  </si>
  <si>
    <t xml:space="preserve">FC-3-6-3D</t>
  </si>
  <si>
    <t xml:space="preserve">Axium Prime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</si>
  <si>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(score=236.5)</t>
    </r>
  </si>
  <si>
    <t xml:space="preserve">stryker sc TransForm SUPER COMPLIANT 3 mm mm 5 2027-12-02 ESC0305</t>
  </si>
  <si>
    <t xml:space="preserve">mask_5</t>
  </si>
  <si>
    <t xml:space="preserve">1-8-FC-3-6-3D.png</t>
  </si>
  <si>
    <r>
      <rPr>
        <sz val="11"/>
        <color rgb="FF000000"/>
        <rFont val="Noto Sans CJK JP"/>
        <family val="2"/>
      </rPr>
      <t xml:space="preserve">日付以外正確に読み取れていない。 </t>
    </r>
    <r>
      <rPr>
        <sz val="11"/>
        <color rgb="FF000000"/>
        <rFont val="Calibri"/>
        <family val="2"/>
        <charset val="1"/>
      </rPr>
      <t xml:space="preserve">Nairobi</t>
    </r>
    <r>
      <rPr>
        <sz val="11"/>
        <color rgb="FF000000"/>
        <rFont val="Noto Sans CJK JP"/>
        <family val="2"/>
      </rPr>
      <t xml:space="preserve">と</t>
    </r>
    <r>
      <rPr>
        <sz val="11"/>
        <color rgb="FF000000"/>
        <rFont val="Calibri"/>
        <family val="2"/>
        <charset val="1"/>
      </rPr>
      <t xml:space="preserve">LOT</t>
    </r>
    <r>
      <rPr>
        <sz val="11"/>
        <color rgb="FF000000"/>
        <rFont val="Noto Sans CJK JP"/>
        <family val="2"/>
      </rPr>
      <t xml:space="preserve">は読み取れている</t>
    </r>
  </si>
  <si>
    <t xml:space="preserve">10CSW01515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</si>
  <si>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(score=220.4)</t>
    </r>
  </si>
  <si>
    <t xml:space="preserve">Sedltronic 0.027" 160cm 2096730 FQ16140-0615-15 2028-12-10</t>
  </si>
  <si>
    <t xml:space="preserve">mask_23</t>
  </si>
  <si>
    <t xml:space="preserve">1-9-10CSW01515.png</t>
  </si>
  <si>
    <r>
      <rPr>
        <sz val="11"/>
        <color rgb="FF000000"/>
        <rFont val="Noto Sans CJK JP"/>
        <family val="2"/>
      </rPr>
      <t xml:space="preserve">タイトル、日付は読み取れているが、規格がだめ（</t>
    </r>
    <r>
      <rPr>
        <sz val="11"/>
        <color rgb="FF000000"/>
        <rFont val="Calibri"/>
        <family val="2"/>
        <charset val="1"/>
      </rPr>
      <t xml:space="preserve">REF</t>
    </r>
    <r>
      <rPr>
        <sz val="11"/>
        <color rgb="FF000000"/>
        <rFont val="Noto Sans CJK JP"/>
        <family val="2"/>
      </rPr>
      <t xml:space="preserve">はそもそも認識できない小ささ？）</t>
    </r>
  </si>
  <si>
    <t xml:space="preserve">393-020310</t>
  </si>
  <si>
    <t xml:space="preserve">i-ED COIL</t>
  </si>
  <si>
    <t xml:space="preserve">1-10-393-020310.png</t>
  </si>
  <si>
    <t xml:space="preserve">FG15160-0615-1S</t>
  </si>
  <si>
    <t xml:space="preserve">Phenom</t>
  </si>
  <si>
    <t xml:space="preserve">1-11-FG15160-0615-1S.png</t>
  </si>
  <si>
    <t xml:space="preserve">SPD-040-320</t>
  </si>
  <si>
    <t xml:space="preserve">SpiderFX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</si>
  <si>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(score=282.1)</t>
    </r>
  </si>
  <si>
    <t xml:space="preserve">Coil System WallabyAveni 2031-04-14</t>
  </si>
  <si>
    <t xml:space="preserve">mask_8</t>
  </si>
  <si>
    <t xml:space="preserve">1-12-SPD-040-320.png</t>
  </si>
  <si>
    <t xml:space="preserve">タイトルだけ読み取れている。規格は読み取ってほしいものを読み取れていない</t>
  </si>
  <si>
    <t xml:space="preserve">INC-11814-146</t>
  </si>
  <si>
    <t xml:space="preserve">AXS Vecta 46</t>
  </si>
  <si>
    <t xml:space="preserve">mask_9</t>
  </si>
  <si>
    <t xml:space="preserve">stryker AXS Vecta 46 0.046 in 2028-06-29 INC-11814-146 46</t>
  </si>
  <si>
    <t xml:space="preserve">1-13-INC-11814-146.png</t>
  </si>
  <si>
    <t xml:space="preserve">AIN-CHI-10-200R</t>
  </si>
  <si>
    <t xml:space="preserve">CHIKAI 10</t>
  </si>
  <si>
    <t xml:space="preserve">mask_20</t>
  </si>
  <si>
    <t xml:space="preserve">MASAHIINTECC CHIKAI10 0.010"X200cm</t>
  </si>
  <si>
    <t xml:space="preserve">1-14-AIN-CHI-10-200R.png</t>
  </si>
  <si>
    <t xml:space="preserve">OPTI0408CSS10</t>
  </si>
  <si>
    <t xml:space="preserve">OPTIMA</t>
  </si>
  <si>
    <t xml:space="preserve">mask_16</t>
  </si>
  <si>
    <t xml:space="preserve">OPTIMA SUPERSOFT COMPLEX-10 4mm 8cm</t>
  </si>
  <si>
    <t xml:space="preserve">1-15-OPTI0408CSS10.png</t>
  </si>
  <si>
    <t xml:space="preserve">ESC0305</t>
  </si>
  <si>
    <t xml:space="preserve">1-16-ESC0305.png</t>
  </si>
  <si>
    <t xml:space="preserve">MIV-2N316</t>
  </si>
  <si>
    <t xml:space="preserve">Defrictor</t>
  </si>
  <si>
    <t xml:space="preserve">mask_21</t>
  </si>
  <si>
    <r>
      <rPr>
        <sz val="11"/>
        <color rgb="FF000000"/>
        <rFont val="Calibri"/>
        <family val="2"/>
        <charset val="1"/>
      </rPr>
      <t xml:space="preserve">Nano Cotheler Defrictor 1.3 Fr/2.2 Fr 51172NO7 MV-2N016202810 </t>
    </r>
    <r>
      <rPr>
        <sz val="11"/>
        <color rgb="FF000000"/>
        <rFont val="Noto Sans CJK JP"/>
        <family val="2"/>
      </rPr>
      <t xml:space="preserve">式ヒラ</t>
    </r>
  </si>
  <si>
    <t xml:space="preserve">1-17-MIV-2N316.png</t>
  </si>
  <si>
    <t xml:space="preserve">OPTI0152CSS10</t>
  </si>
  <si>
    <t xml:space="preserve">mask_24</t>
  </si>
  <si>
    <t xml:space="preserve">OPTIMA" SUPERSOFT COMPLEX-10 1.5 2cm OPTOICSS1O 20415.13</t>
  </si>
  <si>
    <t xml:space="preserve">1-18-OPTI0152CSS10.png</t>
  </si>
  <si>
    <t xml:space="preserve">C1775ST</t>
  </si>
  <si>
    <t xml:space="preserve">Excelsior XT-17</t>
  </si>
  <si>
    <t xml:space="preserve">mask_12</t>
  </si>
  <si>
    <t xml:space="preserve">Siryker 2TIP ExcelsiorXT-17 STRAIGHT 150 7.5 C177SST 2028-01-03</t>
  </si>
  <si>
    <t xml:space="preserve">1-19-C1775ST.png</t>
  </si>
  <si>
    <t xml:space="preserve">FG13160-0615-1S</t>
  </si>
  <si>
    <t xml:space="preserve">mask_19</t>
  </si>
  <si>
    <t xml:space="preserve">Medtronic 21 Catheter . 0.021' 160cm 232639510 F013160-0615-13 2028-11-05</t>
  </si>
  <si>
    <t xml:space="preserve">1-20-FG13160-0615-1S.png</t>
  </si>
  <si>
    <t xml:space="preserve">DAC6F115</t>
  </si>
  <si>
    <t xml:space="preserve">Esperance Distal Access Catheter</t>
  </si>
  <si>
    <t xml:space="preserve">mask_6</t>
  </si>
  <si>
    <t xml:space="preserve">ID:0.071 DAC6F Esperance Distal Aess Cathate 115cm 6F</t>
  </si>
  <si>
    <t xml:space="preserve">1-21-DAC6F115.png</t>
  </si>
  <si>
    <t xml:space="preserve">SD-40040</t>
  </si>
  <si>
    <t xml:space="preserve">SHIDEN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</si>
  <si>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(score=335.8)</t>
    </r>
  </si>
  <si>
    <t xml:space="preserve">1-22-SD-40040.png</t>
  </si>
  <si>
    <r>
      <rPr>
        <sz val="11"/>
        <color rgb="FF000000"/>
        <rFont val="Noto Sans CJK JP"/>
        <family val="2"/>
      </rPr>
      <t xml:space="preserve">タイトルも</t>
    </r>
    <r>
      <rPr>
        <sz val="11"/>
        <color rgb="FF000000"/>
        <rFont val="Calibri"/>
        <family val="2"/>
        <charset val="1"/>
      </rPr>
      <t xml:space="preserve">REF</t>
    </r>
    <r>
      <rPr>
        <sz val="11"/>
        <color rgb="FF000000"/>
        <rFont val="Noto Sans CJK JP"/>
        <family val="2"/>
      </rPr>
      <t xml:space="preserve">も読めているのに、違うのが選ばれている。</t>
    </r>
  </si>
  <si>
    <t xml:space="preserve">KMDA044178</t>
  </si>
  <si>
    <t xml:space="preserve">Guidepost</t>
  </si>
  <si>
    <t xml:space="preserve">mask_2</t>
  </si>
  <si>
    <t xml:space="preserve">3.2/3.4Fr..120cm KMDA044178</t>
  </si>
  <si>
    <t xml:space="preserve">1-23-KMDA044178.png</t>
  </si>
  <si>
    <t xml:space="preserve">APB-1.5-2-HX-ES</t>
  </si>
  <si>
    <t xml:space="preserve">mask_27</t>
  </si>
  <si>
    <t xml:space="preserve">Nairobi Extra Soft AP0-1.5-2-HX-E 2028-04-09</t>
  </si>
  <si>
    <t xml:space="preserve">1-24-APB-1.5-2-HX-ES.png</t>
  </si>
  <si>
    <t xml:space="preserve">SS2-40-070H</t>
  </si>
  <si>
    <t xml:space="preserve">SHOURYU2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</si>
  <si>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(score=220.1)</t>
    </r>
  </si>
  <si>
    <t xml:space="preserve">.Nairobi Frame 103430 229116276 2027-04-30</t>
  </si>
  <si>
    <t xml:space="preserve">mask_10</t>
  </si>
  <si>
    <t xml:space="preserve">1-25-SS2-40-070H.png</t>
  </si>
  <si>
    <r>
      <rPr>
        <sz val="11"/>
        <color rgb="FF000000"/>
        <rFont val="Calibri"/>
        <family val="2"/>
        <charset val="1"/>
      </rPr>
      <t xml:space="preserve">SHIDEN</t>
    </r>
    <r>
      <rPr>
        <sz val="11"/>
        <color rgb="FF000000"/>
        <rFont val="Noto Sans CJK JP"/>
        <family val="2"/>
      </rPr>
      <t xml:space="preserve">の認識で</t>
    </r>
    <r>
      <rPr>
        <sz val="11"/>
        <color rgb="FF000000"/>
        <rFont val="Calibri"/>
        <family val="2"/>
        <charset val="1"/>
      </rPr>
      <t xml:space="preserve">SYORYU</t>
    </r>
    <r>
      <rPr>
        <sz val="11"/>
        <color rgb="FF000000"/>
        <rFont val="Noto Sans CJK JP"/>
        <family val="2"/>
      </rPr>
      <t xml:space="preserve">が取られたから？　確認するには全体マッチングを解除する必要があるかも</t>
    </r>
  </si>
  <si>
    <t xml:space="preserve">1681189</t>
  </si>
  <si>
    <t xml:space="preserve">Excelsior SL-10</t>
  </si>
  <si>
    <t xml:space="preserve">mask_18</t>
  </si>
  <si>
    <t xml:space="preserve">stryker 2TIP Excelsior®SL-10 STRAIGHT 150 cm BEF 168189 2028-02-18</t>
  </si>
  <si>
    <t xml:space="preserve">1-26-1681189.png</t>
  </si>
  <si>
    <t xml:space="preserve">10CSW01010</t>
  </si>
  <si>
    <t xml:space="preserve">mask_22</t>
  </si>
  <si>
    <t xml:space="preserve">Coll System Wallaby Avenir 10 10 2031-05-09</t>
  </si>
  <si>
    <t xml:space="preserve">1-27-10CSW01010.png</t>
  </si>
  <si>
    <t xml:space="preserve">OPTI0204CSS10</t>
  </si>
  <si>
    <t xml:space="preserve">mask_17</t>
  </si>
  <si>
    <t xml:space="preserve">OPTIMA COMPLEX-10 SUPERSOFT 2mm 4cm</t>
  </si>
  <si>
    <t xml:space="preserve">1-28-OPTI0204CSS10.png</t>
  </si>
  <si>
    <t xml:space="preserve">SSTD215STR</t>
  </si>
  <si>
    <t xml:space="preserve">Synchro SELECT</t>
  </si>
  <si>
    <t xml:space="preserve">mask_15</t>
  </si>
  <si>
    <t xml:space="preserve">stryker Synchro SELECT STANDARD STRAIGHT 0.014 215 REF 2029-02-24 SSTD215STR Standard</t>
  </si>
  <si>
    <t xml:space="preserve">1-29-SSTD215STR.png</t>
  </si>
  <si>
    <t xml:space="preserve">373-040830</t>
  </si>
  <si>
    <t xml:space="preserve">mask_25</t>
  </si>
  <si>
    <r>
      <rPr>
        <sz val="11"/>
        <color rgb="FF000000"/>
        <rFont val="Calibri"/>
        <family val="2"/>
        <charset val="1"/>
      </rPr>
      <t xml:space="preserve">-ED.COILO ES 4-8 30 </t>
    </r>
    <r>
      <rPr>
        <sz val="11"/>
        <color rgb="FF000000"/>
        <rFont val="Noto Sans CJK JP"/>
        <family val="2"/>
      </rPr>
      <t xml:space="preserve">网</t>
    </r>
    <r>
      <rPr>
        <sz val="11"/>
        <color rgb="FF000000"/>
        <rFont val="Calibri"/>
        <family val="2"/>
        <charset val="1"/>
      </rPr>
      <t xml:space="preserve">104430 373-040830 2027-10-31 14</t>
    </r>
  </si>
  <si>
    <t xml:space="preserve">1-30-373-040830.png</t>
  </si>
  <si>
    <t xml:space="preserve">612104</t>
  </si>
  <si>
    <t xml:space="preserve">Target XL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</si>
  <si>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(score=123.6)</t>
    </r>
  </si>
  <si>
    <t xml:space="preserve">320/190 SpiderFX"</t>
  </si>
  <si>
    <t xml:space="preserve">mask_7</t>
  </si>
  <si>
    <t xml:space="preserve">1-31-612104.png</t>
  </si>
  <si>
    <t xml:space="preserve">MC1715000</t>
  </si>
  <si>
    <t xml:space="preserve">pNOVUS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</si>
  <si>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(score=284.4)</t>
    </r>
  </si>
  <si>
    <t xml:space="preserve">1-32-MC1715000.png</t>
  </si>
  <si>
    <t xml:space="preserve">APB-2-3-HX-ES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</si>
  <si>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(score=266.5)</t>
    </r>
  </si>
  <si>
    <t xml:space="preserve">1-33-APB-2-3-HX-ES.png</t>
  </si>
  <si>
    <t xml:space="preserve">2</t>
  </si>
  <si>
    <t xml:space="preserve">N Coll System Wallaby Avenir TransForm" 20 10 A 2030-12-14 7 REF</t>
  </si>
  <si>
    <t xml:space="preserve">2-34-10CSW02020.png</t>
  </si>
  <si>
    <t xml:space="preserve">MASAHIINTECC CHIKAI 0.014"X200cm</t>
  </si>
  <si>
    <t xml:space="preserve">2-35-AIN-CKI-200R.png</t>
  </si>
  <si>
    <t xml:space="preserve">ciennlic Coyote"ES MONORAIL 3.0 mm 146 cm 2007-6-01 014</t>
  </si>
  <si>
    <t xml:space="preserve">2-36-MONORAIL.png</t>
  </si>
  <si>
    <t xml:space="preserve">stryker SHIDEN SD-40040 SUPER COMPLIANT 4 4.0-4015504Fr0.014 2028-01-26 ESC0407 RX</t>
  </si>
  <si>
    <t xml:space="preserve">2-37-ESC0407.png</t>
  </si>
  <si>
    <r>
      <rPr>
        <sz val="11"/>
        <color rgb="FF000000"/>
        <rFont val="Noto Sans CJK JP"/>
        <family val="2"/>
      </rPr>
      <t xml:space="preserve">マスクが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JP"/>
        <family val="2"/>
      </rPr>
      <t xml:space="preserve">つの箱にかかっている（マスク不良）</t>
    </r>
  </si>
  <si>
    <t xml:space="preserve">Medtronic LargeGoreAspiratonTub REF MAT-110-110 112°(284cm) O1 442733 2027-10-14</t>
  </si>
  <si>
    <t xml:space="preserve">2-38-MAT-110-110.png</t>
  </si>
  <si>
    <t xml:space="preserve">ITIP ExcelsiorXT-27 STRAIGNT 150 XT275081 2028-10-08</t>
  </si>
  <si>
    <t xml:space="preserve">2-39-XT275081.png</t>
  </si>
  <si>
    <t xml:space="preserve">tyker WITHOUTTIP Neuroform Atlas 3.0 EZAS3021 2030-12-09</t>
  </si>
  <si>
    <t xml:space="preserve">2-40-EZAS3021.png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</si>
  <si>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(score=316.4)</t>
    </r>
  </si>
  <si>
    <t xml:space="preserve">2-41-FC-3-6-3D.png</t>
  </si>
  <si>
    <t xml:space="preserve">似た規格の他のマスクに取られた</t>
  </si>
  <si>
    <t xml:space="preserve">Coll System Wallaby Avenir 15 10 2031-04-14</t>
  </si>
  <si>
    <t xml:space="preserve">2-42-10CSW01515.png</t>
  </si>
  <si>
    <r>
      <rPr>
        <sz val="11"/>
        <color rgb="FF000000"/>
        <rFont val="Calibri"/>
        <family val="2"/>
        <charset val="1"/>
      </rPr>
      <t xml:space="preserve">EDCOH SS 2-3 10</t>
    </r>
    <r>
      <rPr>
        <sz val="11"/>
        <color rgb="FF000000"/>
        <rFont val="Noto Sans CJK JP"/>
        <family val="2"/>
      </rPr>
      <t xml:space="preserve">元 </t>
    </r>
    <r>
      <rPr>
        <sz val="11"/>
        <color rgb="FF000000"/>
        <rFont val="Calibri"/>
        <family val="2"/>
        <charset val="1"/>
      </rPr>
      <t xml:space="preserve">303-020310 KR045208 2028-04-30 12</t>
    </r>
  </si>
  <si>
    <t xml:space="preserve">2-43-393-020310.png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</si>
  <si>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(score=307.5)</t>
    </r>
  </si>
  <si>
    <t xml:space="preserve">Medtronic Catheter 0.021 160cm LET232639610 FG13160-0615-13 2028-11-05</t>
  </si>
  <si>
    <t xml:space="preserve">2-44-FG15160-0615-1S.png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</si>
  <si>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(score=312.1)</t>
    </r>
  </si>
  <si>
    <t xml:space="preserve">EDCOL ES 4-830 104430 2027-10-1 14</t>
  </si>
  <si>
    <t xml:space="preserve">2-45-SPD-040-320.png</t>
  </si>
  <si>
    <t xml:space="preserve">stryker AXS Vecta 46 0.046 2028-06-29 INC-11814-145 46</t>
  </si>
  <si>
    <t xml:space="preserve">2-46-INC-11814-146.png</t>
  </si>
  <si>
    <t xml:space="preserve">2-47-AIN-CHI-10-200R.png</t>
  </si>
  <si>
    <t xml:space="preserve">OPTIMA SUPERSOFT COMPLEN-10 mm 4em</t>
  </si>
  <si>
    <t xml:space="preserve">2-48-OPTI0408CSS10.png</t>
  </si>
  <si>
    <t xml:space="preserve">画像にない箱だが、タイトルだけで合致させている。規格のスコア計算に問題あり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</si>
  <si>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(score=293.3)</t>
    </r>
  </si>
  <si>
    <t xml:space="preserve">Nairobi AF3-21-1 2028-08-05</t>
  </si>
  <si>
    <t xml:space="preserve">2-49-ESC0305.png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</si>
  <si>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(score=243.5)</t>
    </r>
  </si>
  <si>
    <r>
      <rPr>
        <sz val="11"/>
        <color rgb="FF000000"/>
        <rFont val="Calibri"/>
        <family val="2"/>
        <charset val="1"/>
      </rPr>
      <t xml:space="preserve">stryker </t>
    </r>
    <r>
      <rPr>
        <sz val="11"/>
        <color rgb="FF000000"/>
        <rFont val="Noto Sans CJK JP"/>
        <family val="2"/>
      </rPr>
      <t xml:space="preserve">丽 </t>
    </r>
    <r>
      <rPr>
        <sz val="11"/>
        <color rgb="FF000000"/>
        <rFont val="Calibri"/>
        <family val="2"/>
        <charset val="1"/>
      </rPr>
      <t xml:space="preserve">2W1P Excelsior®XT-17" STRAIGHT 150 7.5 AEF C177SST 2028-01-03</t>
    </r>
  </si>
  <si>
    <t xml:space="preserve">2-50-MIV-2N316.png</t>
  </si>
  <si>
    <t xml:space="preserve">OPTIMA" COMPLEX-10 SUPERSOFT 1.5mm 2cm HFOPTEICSSTO 29.1211 413.13</t>
  </si>
  <si>
    <t xml:space="preserve">2-51-OPTI0152CSS10.png</t>
  </si>
  <si>
    <t xml:space="preserve">2-52-C1775ST.png</t>
  </si>
  <si>
    <t xml:space="preserve">2-53-FG13160-0615-1S.png</t>
  </si>
  <si>
    <t xml:space="preserve">DAC 6F ID:0.071 Esperance Distal Aecess Cathete 115cm 6F 000140 229-01-16</t>
  </si>
  <si>
    <t xml:space="preserve">2-54-DAC6F115.png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</si>
  <si>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(score=275.0)</t>
    </r>
  </si>
  <si>
    <t xml:space="preserve">2-55-SD-40040.png</t>
  </si>
  <si>
    <t xml:space="preserve">マスク不良</t>
  </si>
  <si>
    <r>
      <rPr>
        <sz val="11"/>
        <color rgb="FF000000"/>
        <rFont val="Calibri"/>
        <family val="2"/>
        <charset val="1"/>
      </rPr>
      <t xml:space="preserve">3.2/3.4Fr 120cm </t>
    </r>
    <r>
      <rPr>
        <sz val="11"/>
        <color rgb="FF000000"/>
        <rFont val="Noto Sans CJK JP"/>
        <family val="2"/>
      </rPr>
      <t xml:space="preserve">用 </t>
    </r>
    <r>
      <rPr>
        <sz val="11"/>
        <color rgb="FF000000"/>
        <rFont val="Calibri"/>
        <family val="2"/>
        <charset val="1"/>
      </rPr>
      <t xml:space="preserve">300-07-25 KMDA044178</t>
    </r>
  </si>
  <si>
    <t xml:space="preserve">2-56-KMDA044178.png</t>
  </si>
  <si>
    <t xml:space="preserve">Nairobi Exlr LaF230926409 APB-1.5-2-HX-E5 2028-04-09</t>
  </si>
  <si>
    <t xml:space="preserve">2-57-APB-1.5-2-HX-ES.png</t>
  </si>
  <si>
    <r>
      <rPr>
        <sz val="11"/>
        <color rgb="FF000000"/>
        <rFont val="Noto Sans CJK JP"/>
        <family val="2"/>
      </rPr>
      <t xml:space="preserve">クイーは </t>
    </r>
    <r>
      <rPr>
        <sz val="11"/>
        <color rgb="FF000000"/>
        <rFont val="Calibri"/>
        <family val="2"/>
        <charset val="1"/>
      </rPr>
      <t xml:space="preserve">SHOURU2HR 4.0 KR046055 2029-00-31 S52-40-070H KANEXA MEDICAL PRODUCTS</t>
    </r>
  </si>
  <si>
    <t xml:space="preserve">2-58-SS2-40-070H.png</t>
  </si>
  <si>
    <t xml:space="preserve">stryker 2-TIP ExcelsiorSL-10 STRAIGHT 150 cm REF 168189 2028-02-18</t>
  </si>
  <si>
    <t xml:space="preserve">2-59-1681189.png</t>
  </si>
  <si>
    <t xml:space="preserve">Coll System Wallaby Avenir" 10 10 UND 2031-05-09</t>
  </si>
  <si>
    <t xml:space="preserve">2-60-10CSW01010.png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</si>
  <si>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(score=276.3)</t>
    </r>
  </si>
  <si>
    <t xml:space="preserve">2-61-OPTI0204CSS10.png</t>
  </si>
  <si>
    <t xml:space="preserve">stryker SynchreSELECT BTANDARD STRAIGNT 0.014 215 2029-02-24 SSTDZ1SSTR Standard</t>
  </si>
  <si>
    <t xml:space="preserve">2-62-SSTD215STR.png</t>
  </si>
  <si>
    <t xml:space="preserve">Nairobi Frame F0-34-30 229116276 2027-04-30</t>
  </si>
  <si>
    <t xml:space="preserve">2-63-373-040830.png</t>
  </si>
  <si>
    <t xml:space="preserve">stryker 360 SOFT TargetXL mm 10 40 REF 612104 2030-05-25 XL</t>
  </si>
  <si>
    <t xml:space="preserve">2-64-612104.png</t>
  </si>
  <si>
    <t xml:space="preserve">pNOVUS"17 Microcatheter 150 cm</t>
  </si>
  <si>
    <t xml:space="preserve">2-65-MC1715000.png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</si>
  <si>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(score=284.0)</t>
    </r>
  </si>
  <si>
    <t xml:space="preserve">2-66-APB-2-3-HX-ES.png</t>
  </si>
  <si>
    <t xml:space="preserve">たまたま似た文字列を選んでしまった、規格が正確に読み取れていない</t>
  </si>
  <si>
    <t xml:space="preserve">3</t>
  </si>
  <si>
    <t xml:space="preserve">Coll System Wallaby Avenir" Synchro SELECT 20 10 UNO 2030-12-14 SSTD215STR</t>
  </si>
  <si>
    <t xml:space="preserve">3-67-10CSW02020.png</t>
  </si>
  <si>
    <t xml:space="preserve">3-68-AIN-CKI-200R.png</t>
  </si>
  <si>
    <t xml:space="preserve">Lvote MONORAIL 3.0 40 146 cm 014</t>
  </si>
  <si>
    <t xml:space="preserve">3-69-MONORAIL.png</t>
  </si>
  <si>
    <t xml:space="preserve">stryker SC TransForm SUPER COMPLIANT 4 mm mm 2028-01-26 ESC0407</t>
  </si>
  <si>
    <t xml:space="preserve">3-70-ESC0407.png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</si>
  <si>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(score=77.8)</t>
    </r>
  </si>
  <si>
    <t xml:space="preserve">Medtronte</t>
  </si>
  <si>
    <t xml:space="preserve">3-71-MAT-110-110.png</t>
  </si>
  <si>
    <t xml:space="preserve">文字列手がかりなし</t>
  </si>
  <si>
    <t xml:space="preserve">3-72-XT275081.png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</si>
  <si>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(score=281.7)</t>
    </r>
  </si>
  <si>
    <t xml:space="preserve">stryker TransForm SUPERCOMPLIANT 3 mm mm 5 REF 2027-12-02 ESC0305</t>
  </si>
  <si>
    <t xml:space="preserve">3-73-EZAS3021.png</t>
  </si>
  <si>
    <t xml:space="preserve">3-74-FC-3-6-3D.png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</si>
  <si>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(score=237.9)</t>
    </r>
  </si>
  <si>
    <t xml:space="preserve">OPTIMA COMPLEX-10 SUPERSOFT 1.5mm 2cm FF2120045</t>
  </si>
  <si>
    <t xml:space="preserve">3-75-10CSW01515.png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</si>
  <si>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(score=316.9)</t>
    </r>
  </si>
  <si>
    <t xml:space="preserve">stryker 2TIP Excelsior SL-10® STRAIGHT 150 cm 168189 2028-02-18</t>
  </si>
  <si>
    <t xml:space="preserve">3-76-393-020310.png</t>
  </si>
  <si>
    <t xml:space="preserve">Medtronic Catheter 0.027 160cm 2896730 FO15160-4616-15 2028-12-10</t>
  </si>
  <si>
    <t xml:space="preserve">3-77-FG15160-0615-1S.png</t>
  </si>
  <si>
    <t xml:space="preserve">320/190 014 SpiderFX"</t>
  </si>
  <si>
    <t xml:space="preserve">3-78-SPD-040-320.png</t>
  </si>
  <si>
    <r>
      <rPr>
        <sz val="11"/>
        <color rgb="FF000000"/>
        <rFont val="Calibri"/>
        <family val="2"/>
        <charset val="1"/>
      </rPr>
      <t xml:space="preserve">stryker </t>
    </r>
    <r>
      <rPr>
        <sz val="11"/>
        <color rgb="FF000000"/>
        <rFont val="Noto Sans CJK JP"/>
        <family val="2"/>
      </rPr>
      <t xml:space="preserve">国 </t>
    </r>
    <r>
      <rPr>
        <sz val="11"/>
        <color rgb="FF000000"/>
        <rFont val="Calibri"/>
        <family val="2"/>
        <charset val="1"/>
      </rPr>
      <t xml:space="preserve">AXS Vecta® 46 0.046 145 cm 2028-06-29 NINC-11814-146 46</t>
    </r>
  </si>
  <si>
    <t xml:space="preserve">3-79-INC-11814-146.png</t>
  </si>
  <si>
    <t xml:space="preserve">3-80-AIN-CHI-10-200R.png</t>
  </si>
  <si>
    <t xml:space="preserve">OPTIMA COMPLEX-10 SUPERSOFT 4 mm 8cm</t>
  </si>
  <si>
    <t xml:space="preserve">3-81-OPTI0408CSS10.png</t>
  </si>
  <si>
    <t xml:space="preserve">3-82-ESC0305.png</t>
  </si>
  <si>
    <r>
      <rPr>
        <sz val="11"/>
        <color rgb="FF000000"/>
        <rFont val="Calibri"/>
        <family val="2"/>
        <charset val="1"/>
      </rPr>
      <t xml:space="preserve">Nano Catheler Defrictor 1.3Fr/2.2Fr 51172NO7 MV 2N0102028410 </t>
    </r>
    <r>
      <rPr>
        <sz val="11"/>
        <color rgb="FF000000"/>
        <rFont val="Noto Sans CJK JP"/>
        <family val="2"/>
      </rPr>
      <t xml:space="preserve">式ラ</t>
    </r>
  </si>
  <si>
    <t xml:space="preserve">3-83-MIV-2N316.png</t>
  </si>
  <si>
    <t xml:space="preserve">3-84-OPTI0152CSS10.png</t>
  </si>
  <si>
    <t xml:space="preserve">yker ZTIP ExcelsiorXT-17" STRAIGHT 150 7.5 REFC1775ST 2028-01-03</t>
  </si>
  <si>
    <t xml:space="preserve">3-85-C1775ST.png</t>
  </si>
  <si>
    <t xml:space="preserve">Medtronic Phenom" 21 Cathater 0.021 160cm 232639510 F013160-0616-15 2020-11-05</t>
  </si>
  <si>
    <t xml:space="preserve">3-86-FG13160-0615-1S.png</t>
  </si>
  <si>
    <t xml:space="preserve">ID:0.071 DAC6F DatalAecess Cathets 6F 115cm</t>
  </si>
  <si>
    <t xml:space="preserve">3-87-DAC6F115.png</t>
  </si>
  <si>
    <t xml:space="preserve">SRD45487 SD-40040 4.0-40 1550_4Fr0.014</t>
  </si>
  <si>
    <t xml:space="preserve">3-88-SD-40040.png</t>
  </si>
  <si>
    <r>
      <rPr>
        <sz val="11"/>
        <color rgb="FF000000"/>
        <rFont val="Calibri"/>
        <family val="2"/>
        <charset val="1"/>
      </rPr>
      <t xml:space="preserve">3.2/34Fr. 20cm </t>
    </r>
    <r>
      <rPr>
        <sz val="11"/>
        <color rgb="FF000000"/>
        <rFont val="Noto Sans CJK JP"/>
        <family val="2"/>
      </rPr>
      <t xml:space="preserve">用 </t>
    </r>
    <r>
      <rPr>
        <sz val="11"/>
        <color rgb="FF000000"/>
        <rFont val="Calibri"/>
        <family val="2"/>
        <charset val="1"/>
      </rPr>
      <t xml:space="preserve">-020 KMDA044178</t>
    </r>
  </si>
  <si>
    <t xml:space="preserve">3-89-KMDA044178.png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</si>
  <si>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(score=82.9)</t>
    </r>
  </si>
  <si>
    <t xml:space="preserve">Nairobi</t>
  </si>
  <si>
    <t xml:space="preserve">3-90-APB-1.5-2-HX-ES.png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</si>
  <si>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(score=207.8)</t>
    </r>
  </si>
  <si>
    <t xml:space="preserve">2020-04-09</t>
  </si>
  <si>
    <t xml:space="preserve">3-91-SS2-40-070H.png</t>
  </si>
  <si>
    <t xml:space="preserve">3-92-1681189.png</t>
  </si>
  <si>
    <t xml:space="preserve">Coll System Wallaby Avenir 10 10 UNO 2031-05-09</t>
  </si>
  <si>
    <t xml:space="preserve">3-93-10CSW01010.png</t>
  </si>
  <si>
    <t xml:space="preserve">3-94-OPTI0204CSS10.png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</si>
  <si>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(score=262.5)</t>
    </r>
  </si>
  <si>
    <t xml:space="preserve">3-95-SSTD215STR.png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</si>
  <si>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(score=240.4)</t>
    </r>
  </si>
  <si>
    <t xml:space="preserve">ES 4-8 30 4</t>
  </si>
  <si>
    <t xml:space="preserve">3-96-373-040830.png</t>
  </si>
  <si>
    <t xml:space="preserve">Atryker 3 SOFT TargetXL 10 40 612104 2030-05-25 XL</t>
  </si>
  <si>
    <t xml:space="preserve">3-97-612104.png</t>
  </si>
  <si>
    <t xml:space="preserve">Mierecatheter NOVUS"17 150</t>
  </si>
  <si>
    <t xml:space="preserve">3-98-MC1715000.png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</si>
  <si>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(score=213.9)</t>
    </r>
  </si>
  <si>
    <t xml:space="preserve">3-99-APB-2-3-HX-ES.png</t>
  </si>
  <si>
    <t xml:space="preserve">4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</si>
  <si>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(score=92.1)</t>
    </r>
  </si>
  <si>
    <t xml:space="preserve">WalbyAven</t>
  </si>
  <si>
    <t xml:space="preserve">4-100-10CSW02020.png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</si>
  <si>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(score=117.5)</t>
    </r>
  </si>
  <si>
    <t xml:space="preserve">0.014°X2000m</t>
  </si>
  <si>
    <t xml:space="preserve">4-101-AIN-CKI-200R.png</t>
  </si>
  <si>
    <t xml:space="preserve">4-102-MONORAIL.png</t>
  </si>
  <si>
    <t xml:space="preserve">TransForm OC BUPERCOMPLIANT mm 2028-01-26 ESC0407</t>
  </si>
  <si>
    <t xml:space="preserve">4-103-ESC0407.png</t>
  </si>
  <si>
    <t xml:space="preserve">Medtronic LargeBoreAspirationTubing MAT-110-110 112"(284cm LOT 442733 2027-10-14</t>
  </si>
  <si>
    <t xml:space="preserve">4-104-MAT-110-110.png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</si>
  <si>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(score=266.7)</t>
    </r>
  </si>
  <si>
    <t xml:space="preserve">stryker 2TIP ExcelsiorSL-10 STRAIGHT 150 cm cm 6 REF 168189 2028-02-18</t>
  </si>
  <si>
    <t xml:space="preserve">4-105-XT275081.png</t>
  </si>
  <si>
    <t xml:space="preserve">sryker sC TransForm SUPER COMPLIANT mm 3 mm 5 2 2027-12-02 ESC0305</t>
  </si>
  <si>
    <t xml:space="preserve">4-106-EZAS3021.png</t>
  </si>
  <si>
    <t xml:space="preserve">Nairobi Frame FC-3-4-30 229115276 2027-08-30</t>
  </si>
  <si>
    <t xml:space="preserve">4-107-FC-3-6-3D.png</t>
  </si>
  <si>
    <t xml:space="preserve">UND Coll System Wallaby Avenir" 1.5 15 10 2031-04-14</t>
  </si>
  <si>
    <t xml:space="preserve">4-108-10CSW01515.png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</si>
  <si>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(score=302.2)</t>
    </r>
  </si>
  <si>
    <r>
      <rPr>
        <sz val="11"/>
        <color rgb="FF000000"/>
        <rFont val="Calibri"/>
        <family val="2"/>
        <charset val="1"/>
      </rPr>
      <t xml:space="preserve">Nano Catheler Defrictor 1.3Fr/22Fr B1172NO7 MV2N3162028</t>
    </r>
    <r>
      <rPr>
        <sz val="11"/>
        <color rgb="FF000000"/>
        <rFont val="Noto Sans CJK JP"/>
        <family val="2"/>
      </rPr>
      <t xml:space="preserve">年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Noto Sans CJK JP"/>
        <family val="2"/>
      </rPr>
      <t xml:space="preserve">式ヒラ</t>
    </r>
  </si>
  <si>
    <t xml:space="preserve">4-109-393-020310.png</t>
  </si>
  <si>
    <t xml:space="preserve">Meeltronic- thete 0.027 160cm S 2896730 F016160-0416-18 2028-12-10</t>
  </si>
  <si>
    <t xml:space="preserve">4-110-FG15160-0615-1S.png</t>
  </si>
  <si>
    <t xml:space="preserve">4.0 320/190 .014in SpiderFX"</t>
  </si>
  <si>
    <t xml:space="preserve">4-111-SPD-040-320.png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</si>
  <si>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(score=147.4)</t>
    </r>
  </si>
  <si>
    <t xml:space="preserve">4-112-INC-11814-146.png</t>
  </si>
  <si>
    <t xml:space="preserve">ASAHIINTECC CHIKAI10 0.010"X200cm</t>
  </si>
  <si>
    <t xml:space="preserve">4-113-AIN-CHI-10-200R.png</t>
  </si>
  <si>
    <t xml:space="preserve">4-114-OPTI0408CSS10.png</t>
  </si>
  <si>
    <t xml:space="preserve">4-115-ESC0305.png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</si>
  <si>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(score=293.3)</t>
    </r>
  </si>
  <si>
    <r>
      <rPr>
        <sz val="11"/>
        <color rgb="FF000000"/>
        <rFont val="Noto Sans CJK JP"/>
        <family val="2"/>
      </rPr>
      <t xml:space="preserve">リです イドワイヤは </t>
    </r>
    <r>
      <rPr>
        <sz val="11"/>
        <color rgb="FF000000"/>
        <rFont val="Calibri"/>
        <family val="2"/>
        <charset val="1"/>
      </rPr>
      <t xml:space="preserve">Suu2HR 4.0 KRO46055 2029-03-31 552-40-070H LANEEA MIDICAL</t>
    </r>
  </si>
  <si>
    <t xml:space="preserve">4-116-MIV-2N316.png</t>
  </si>
  <si>
    <t xml:space="preserve">mask_28</t>
  </si>
  <si>
    <t xml:space="preserve">OPTIMA" SUPERSOFT COMPLEX-10 1.5 2cm 9-113</t>
  </si>
  <si>
    <t xml:space="preserve">4-117-OPTI0152CSS10.png</t>
  </si>
  <si>
    <t xml:space="preserve">stryker ExcelsiorXT-17" STRAIGHT cm 150 C177SST 2028-01-03</t>
  </si>
  <si>
    <t xml:space="preserve">4-118-C1775ST.png</t>
  </si>
  <si>
    <t xml:space="preserve">Medtronic Cathetar 0.021 160cm 232639510 F013160-0615-15 2028-11-05</t>
  </si>
  <si>
    <t xml:space="preserve">4-119-FG13160-0615-1S.png</t>
  </si>
  <si>
    <t xml:space="preserve">10:0.071 DAC 6F 118em</t>
  </si>
  <si>
    <t xml:space="preserve">4-120-DAC6F115.png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</si>
  <si>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(score=343.3)</t>
    </r>
  </si>
  <si>
    <t xml:space="preserve">4-121-SD-40040.png</t>
  </si>
  <si>
    <t xml:space="preserve">32/34Fr 120cm KMDA044178 -uldepest</t>
  </si>
  <si>
    <t xml:space="preserve">4-122-KMDA044178.png</t>
  </si>
  <si>
    <t xml:space="preserve">Nairobi Asium"Pr APB-152-HX-E</t>
  </si>
  <si>
    <t xml:space="preserve">4-123-APB-1.5-2-HX-ES.png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</si>
  <si>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(score=231.8)</t>
    </r>
  </si>
  <si>
    <t xml:space="preserve">4-124-SS2-40-070H.png</t>
  </si>
  <si>
    <t xml:space="preserve">4-125-1681189.png</t>
  </si>
  <si>
    <t xml:space="preserve">No CollSystem Wallaby Avenir 10 10 2031-05-09</t>
  </si>
  <si>
    <t xml:space="preserve">4-126-10CSW01010.png</t>
  </si>
  <si>
    <t xml:space="preserve">OPTIMA SUPERSOFT COMPLEX-10 mm 4cm</t>
  </si>
  <si>
    <t xml:space="preserve">4-127-OPTI0204CSS10.png</t>
  </si>
  <si>
    <t xml:space="preserve">strvker Synchro SELECT" 0.014215 REF SSTD215STR</t>
  </si>
  <si>
    <t xml:space="preserve">4-128-SSTD215STR.png</t>
  </si>
  <si>
    <r>
      <rPr>
        <sz val="11"/>
        <color rgb="FF000000"/>
        <rFont val="Calibri"/>
        <family val="2"/>
        <charset val="1"/>
      </rPr>
      <t xml:space="preserve">EDCOILO ES 4-8 30</t>
    </r>
    <r>
      <rPr>
        <sz val="11"/>
        <color rgb="FF000000"/>
        <rFont val="Noto Sans CJK JP"/>
        <family val="2"/>
      </rPr>
      <t xml:space="preserve">元</t>
    </r>
    <r>
      <rPr>
        <sz val="11"/>
        <color rgb="FF000000"/>
        <rFont val="Calibri"/>
        <family val="2"/>
        <charset val="1"/>
      </rPr>
      <t xml:space="preserve">m 373-04430 KR104430 2027-10-3 14</t>
    </r>
  </si>
  <si>
    <t xml:space="preserve">4-129-373-040830.png</t>
  </si>
  <si>
    <t xml:space="preserve">stryker 360SOFT Target XL? mm 10 cm 40 REF 612104 2030-05-25 XL</t>
  </si>
  <si>
    <t xml:space="preserve">4-130-612104.png</t>
  </si>
  <si>
    <t xml:space="preserve">Microcatheter pNOVUS"*17 cm 150</t>
  </si>
  <si>
    <t xml:space="preserve">4-131-MC1715000.png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</si>
  <si>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(score=272.3)</t>
    </r>
  </si>
  <si>
    <t xml:space="preserve">SS 2-3 10 KR045298 300-020310 2020-04-30 12</t>
  </si>
  <si>
    <t xml:space="preserve">4-132-APB-2-3-HX-ES.png</t>
  </si>
  <si>
    <t xml:space="preserve">5</t>
  </si>
  <si>
    <t xml:space="preserve">N CollSystem Wallaby Avenir 20 10 2030-12-14</t>
  </si>
  <si>
    <t xml:space="preserve">5-133-10CSW02020.png</t>
  </si>
  <si>
    <t xml:space="preserve">ASAHIINTECC CHIKAI 0.014"X200cm</t>
  </si>
  <si>
    <t xml:space="preserve">5-134-AIN-CKI-200R.png</t>
  </si>
  <si>
    <t xml:space="preserve">Coyote"ES MONORAIL 3.0 m 146 207- 014</t>
  </si>
  <si>
    <t xml:space="preserve">5-135-MONORAIL.png</t>
  </si>
  <si>
    <t xml:space="preserve">stryker SC TransForm SUPERCOMPLIANT mm 4 mm REF 2028-01-26 ESC0407</t>
  </si>
  <si>
    <t xml:space="preserve">5-136-ESC0407.png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</si>
  <si>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(score=169.3)</t>
    </r>
  </si>
  <si>
    <t xml:space="preserve">Medtronle 442733 2027-10.14</t>
  </si>
  <si>
    <t xml:space="preserve">5-137-MAT-110-110.png</t>
  </si>
  <si>
    <r>
      <rPr>
        <sz val="11"/>
        <color rgb="FF000000"/>
        <rFont val="Noto Sans CJK JP"/>
        <family val="2"/>
      </rPr>
      <t xml:space="preserve">国 </t>
    </r>
    <r>
      <rPr>
        <sz val="11"/>
        <color rgb="FF000000"/>
        <rFont val="Calibri"/>
        <family val="2"/>
        <charset val="1"/>
      </rPr>
      <t xml:space="preserve">OTIP ExcelsiorXT-27 STRAIGHT cm 150 XT275081 2028-10-08</t>
    </r>
  </si>
  <si>
    <t xml:space="preserve">5-138-XT275081.png</t>
  </si>
  <si>
    <t xml:space="preserve">5-139-EZAS3021.png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</si>
  <si>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(score=278.8)</t>
    </r>
  </si>
  <si>
    <t xml:space="preserve">Nairobi Frame FC3400 229116276 2027-06-30</t>
  </si>
  <si>
    <t xml:space="preserve">5-140-FC-3-6-3D.png</t>
  </si>
  <si>
    <t xml:space="preserve">Coil System Wallaby Avenir 15 10 2031-04-14</t>
  </si>
  <si>
    <t xml:space="preserve">5-141-10CSW01515.png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</si>
  <si>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(score=316.7)</t>
    </r>
  </si>
  <si>
    <r>
      <rPr>
        <sz val="11"/>
        <color rgb="FF000000"/>
        <rFont val="Calibri"/>
        <family val="2"/>
        <charset val="1"/>
      </rPr>
      <t xml:space="preserve">Defrictor atheter 1.3Fr/2.2Fr 51172NO7 MEV 2N310 2028</t>
    </r>
    <r>
      <rPr>
        <sz val="11"/>
        <color rgb="FF000000"/>
        <rFont val="Noto Sans CJK JP"/>
        <family val="2"/>
      </rPr>
      <t xml:space="preserve">年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JP"/>
        <family val="2"/>
      </rPr>
      <t xml:space="preserve">月 式ヒラ</t>
    </r>
  </si>
  <si>
    <t xml:space="preserve">5-142-393-020310.png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</si>
  <si>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(score=231.4)</t>
    </r>
  </si>
  <si>
    <t xml:space="preserve">Medronke 160cm F014101610</t>
  </si>
  <si>
    <t xml:space="preserve">5-143-FG15160-0615-1S.png</t>
  </si>
  <si>
    <t xml:space="preserve">5-144-SPD-040-320.png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</si>
  <si>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(score=153.3)</t>
    </r>
  </si>
  <si>
    <t xml:space="preserve">5-145-INC-11814-146.png</t>
  </si>
  <si>
    <t xml:space="preserve">ASAHIINTECC CHIKAIIO 0.010"X200cm</t>
  </si>
  <si>
    <t xml:space="preserve">5-146-AIN-CHI-10-200R.png</t>
  </si>
  <si>
    <t xml:space="preserve">OPTIMA COMPLEX-10 SUPERSOFT 4mm 8cm</t>
  </si>
  <si>
    <t xml:space="preserve">5-147-OPTI0408CSS10.png</t>
  </si>
  <si>
    <t xml:space="preserve">stryker SC TransForm SUPERCOMPLIANT 3 mm mm 5 2027-12-02 ESC0305</t>
  </si>
  <si>
    <t xml:space="preserve">5-148-ESC0305.png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</si>
  <si>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(score=271.4)</t>
    </r>
  </si>
  <si>
    <t xml:space="preserve">5-149-MIV-2N316.png</t>
  </si>
  <si>
    <t xml:space="preserve">OPTIMA" COMPLEX-10 1.5mm 2cm NEOFTENNCSSI0</t>
  </si>
  <si>
    <t xml:space="preserve">5-150-OPTI0152CSS10.png</t>
  </si>
  <si>
    <t xml:space="preserve">ExcelsiorXT-17 STRAIGHT 150 2028-01-03</t>
  </si>
  <si>
    <t xml:space="preserve">5-151-C1775ST.png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</si>
  <si>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(score=231.4)</t>
    </r>
  </si>
  <si>
    <t xml:space="preserve">5-152-FG13160-0615-1S.png</t>
  </si>
  <si>
    <t xml:space="preserve">DAC 6F ID:0.071 Euperan Datal Access Cath 115cm 6F</t>
  </si>
  <si>
    <t xml:space="preserve">5-153-DAC6F115.png</t>
  </si>
  <si>
    <t xml:space="preserve">SHIDEN SD-40040 4.0-40 1550 0.014 RX</t>
  </si>
  <si>
    <t xml:space="preserve">5-154-SD-40040.png</t>
  </si>
  <si>
    <t xml:space="preserve">3.2/34Fr 120cm VIN MDA044178 uidep rost</t>
  </si>
  <si>
    <t xml:space="preserve">5-155-KMDA044178.png</t>
  </si>
  <si>
    <t xml:space="preserve">5-156-APB-1.5-2-HX-ES.png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</si>
  <si>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(score=259.6)</t>
    </r>
  </si>
  <si>
    <t xml:space="preserve">5-157-SS2-40-070H.png</t>
  </si>
  <si>
    <t xml:space="preserve">stryker 2T1P ExcelsiorSL-10 STRAIGHT 150 168189 2028-02-18</t>
  </si>
  <si>
    <t xml:space="preserve">5-158-1681189.png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</si>
  <si>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(score=254.0)</t>
    </r>
  </si>
  <si>
    <t xml:space="preserve">5-159-10CSW01010.png</t>
  </si>
  <si>
    <r>
      <rPr>
        <sz val="11"/>
        <color rgb="FF000000"/>
        <rFont val="Noto Sans CJK JP"/>
        <family val="2"/>
      </rPr>
      <t xml:space="preserve">しきい値未満で足切り</t>
    </r>
    <r>
      <rPr>
        <sz val="11"/>
        <color rgb="FF000000"/>
        <rFont val="Calibri"/>
        <family val="2"/>
        <charset val="1"/>
      </rPr>
      <t xml:space="preserve">(score=213.0)</t>
    </r>
  </si>
  <si>
    <t xml:space="preserve">Nairobi AP0-15-2HXE9 2028-04-09</t>
  </si>
  <si>
    <t xml:space="preserve">5-160-OPTI0204CSS10.png</t>
  </si>
  <si>
    <t xml:space="preserve">stryker Synchro SELECT STANDARD STRAIGHT 0.014 in 215 MEF 2029-02-24 SSTD215STR Standard</t>
  </si>
  <si>
    <t xml:space="preserve">5-161-SSTD215STR.png</t>
  </si>
  <si>
    <t xml:space="preserve">ES 4-830 KR104430 373-040830 2027-10-3 14</t>
  </si>
  <si>
    <t xml:space="preserve">5-162-373-040830.png</t>
  </si>
  <si>
    <t xml:space="preserve">stryker 360SOFT Target XL mm 10 40 612104 2030-05-25 XL</t>
  </si>
  <si>
    <t xml:space="preserve">5-163-612104.png</t>
  </si>
  <si>
    <t xml:space="preserve">NOVUS"1 Mierecatheter om 150</t>
  </si>
  <si>
    <t xml:space="preserve">5-164-MC1715000.png</t>
  </si>
  <si>
    <r>
      <rPr>
        <sz val="11"/>
        <color rgb="FF000000"/>
        <rFont val="Noto Sans CJK JP"/>
        <family val="2"/>
      </rPr>
      <t xml:space="preserve">対応マスク不足・競合敗北</t>
    </r>
    <r>
      <rPr>
        <sz val="11"/>
        <color rgb="FF000000"/>
        <rFont val="Calibri"/>
        <family val="2"/>
        <charset val="1"/>
      </rPr>
      <t xml:space="preserve">(score=222.9)</t>
    </r>
  </si>
  <si>
    <t xml:space="preserve">5-165-APB-2-3-HX-ES.png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</si>
</sst>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rgb="FF00000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JP"/>
      <family val="2"/>
    </font>
    <font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96875" defaultRowHeight="15" zeroHeight="false" outlineLevelRow="0" outlineLevelCol="0"/>
  <cols>
    <col collapsed="false" customWidth="true" hidden="false" outlineLevel="0" max="1" min="1" style="0" width="29.87"/>
    <col collapsed="false" customWidth="true" hidden="false" outlineLevel="0" max="3" min="2" style="0" width="16.0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f aca="false">(COUNTA(対応付け結果!C:C)-1)</f>
        <v>165</v>
      </c>
    </row>
    <row r="3" customFormat="false" ht="15" hidden="false" customHeight="false" outlineLevel="0" collapsed="false">
      <c r="A3" s="0" t="s">
        <v>4</v>
      </c>
      <c r="B3" s="2" t="n">
        <f aca="false">COUNTIF(対応付け結果!E:E,"T")/(COUNTA(対応付け結果!C:C)-1)</f>
        <v>0.793939393939394</v>
      </c>
      <c r="C3" s="0" t="str">
        <f aca="false">COUNTIF(対応付け結果!E:E,"T")&amp;"/"&amp;(COUNTA(対応付け結果!C:C)-1)</f>
        <v>131/165</v>
      </c>
    </row>
    <row r="4" customFormat="false" ht="15" hidden="false" customHeight="false" outlineLevel="0" collapsed="false">
      <c r="A4" s="0" t="s">
        <v>5</v>
      </c>
      <c r="B4" s="2" t="n">
        <f aca="false">COUNTIF(対応付け結果!E:E,"F")/(COUNTA(対応付け結果!C:C)-1)</f>
        <v>0.206060606060606</v>
      </c>
      <c r="C4" s="0" t="str">
        <f aca="false">COUNTIF(対応付け結果!E:E,"F")&amp;"/"&amp;(COUNTA(対応付け結果!C:C)-1)</f>
        <v>34/165</v>
      </c>
    </row>
    <row r="5" customFormat="false" ht="15" hidden="false" customHeight="false" outlineLevel="0" collapsed="false">
      <c r="A5" s="0" t="s">
        <v>6</v>
      </c>
      <c r="B5" s="2" t="n">
        <f aca="false">COUNTIF(対応付け結果!F:F,"該当なし")/(COUNTA(対応付け結果!C:C)-1)</f>
        <v>0.333333333333333</v>
      </c>
      <c r="C5" s="0" t="str">
        <f aca="false">COUNTIF(対応付け結果!F:F,"該当なし")&amp;"/"&amp;(COUNTA(対応付け結果!C:C)-1)</f>
        <v>55/165</v>
      </c>
    </row>
    <row r="6" customFormat="false" ht="15" hidden="false" customHeight="false" outlineLevel="0" collapsed="false">
      <c r="A6" s="0" t="s">
        <v>7</v>
      </c>
      <c r="B6" s="2" t="n">
        <f aca="false">COUNTIFS(対応付け結果!F:F,"&lt;&gt;該当なし",対応付け結果!E:E,"T")/((COUNTA(対応付け結果!C:C)-1)-COUNTIF(対応付け結果!F:F,"該当なし"))</f>
        <v>0.972727272727273</v>
      </c>
      <c r="C6" s="0" t="str">
        <f aca="false">COUNTIFS(対応付け結果!F:F,"&lt;&gt;該当なし",対応付け結果!E:E,"T")&amp;"/"&amp;((COUNTA(対応付け結果!C:C)-1)-COUNTIF(対応付け結果!F:F,"該当なし"))</f>
        <v>107/110</v>
      </c>
    </row>
    <row r="7" customFormat="false" ht="15" hidden="false" customHeight="false" outlineLevel="0" collapsed="false">
      <c r="A7" s="0" t="s">
        <v>8</v>
      </c>
      <c r="B7" s="2" t="n">
        <f aca="false">COUNTIFS(対応付け結果!F:F,"該当なし",対応付け結果!E:E,"T")/COUNTIF(対応付け結果!F:F,"該当なし")</f>
        <v>0.436363636363636</v>
      </c>
      <c r="C7" s="0" t="str">
        <f aca="false">COUNTIFS(対応付け結果!F:F,"該当なし",対応付け結果!E:E,"T")&amp;"/"&amp;COUNTIF(対応付け結果!F:F,"該当なし")</f>
        <v>24/55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" activeCellId="0" sqref="E1"/>
    </sheetView>
  </sheetViews>
  <sheetFormatPr defaultColWidth="9.796875" defaultRowHeight="13.8" zeroHeight="false" outlineLevelRow="0" outlineLevelCol="0"/>
  <cols>
    <col collapsed="false" customWidth="true" hidden="false" outlineLevel="0" max="1" min="1" style="0" width="13.78"/>
    <col collapsed="false" customWidth="true" hidden="false" outlineLevel="0" max="2" min="2" style="0" width="11.48"/>
    <col collapsed="false" customWidth="true" hidden="false" outlineLevel="0" max="3" min="3" style="0" width="20.68"/>
    <col collapsed="false" customWidth="true" hidden="false" outlineLevel="0" max="4" min="4" style="0" width="29.87"/>
    <col collapsed="false" customWidth="true" hidden="false" outlineLevel="0" max="6" min="5" style="0" width="16.08"/>
    <col collapsed="false" customWidth="true" hidden="false" outlineLevel="0" max="7" min="7" style="0" width="29.87"/>
    <col collapsed="false" customWidth="true" hidden="false" outlineLevel="0" max="8" min="8" style="0" width="20.68"/>
    <col collapsed="false" customWidth="true" hidden="false" outlineLevel="0" max="9" min="9" style="0" width="13.78"/>
    <col collapsed="false" customWidth="true" hidden="false" outlineLevel="0" max="10" min="10" style="0" width="11.48"/>
    <col collapsed="false" customWidth="true" hidden="false" outlineLevel="0" max="11" min="11" style="0" width="16.08"/>
    <col collapsed="false" customWidth="true" hidden="false" outlineLevel="0" max="14" min="12" style="0" width="11.48"/>
    <col collapsed="false" customWidth="true" hidden="false" outlineLevel="0" max="15" min="15" style="0" width="97.82"/>
    <col collapsed="false" customWidth="true" hidden="false" outlineLevel="0" max="16" min="16" style="0" width="14.56"/>
    <col collapsed="false" customWidth="true" hidden="false" outlineLevel="0" max="17" min="17" style="0" width="11.48"/>
    <col collapsed="false" customWidth="true" hidden="false" outlineLevel="0" max="18" min="18" style="0" width="34.47"/>
    <col collapsed="false" customWidth="true" hidden="false" outlineLevel="0" max="19" min="19" style="0" width="27.57"/>
    <col collapsed="false" customWidth="true" hidden="false" outlineLevel="0" max="1024" min="1023" style="0" width="10.5"/>
  </cols>
  <sheetData>
    <row r="1" customFormat="false" ht="17.15" hidden="false" customHeight="false" outlineLevel="0" collapsed="false">
      <c r="A1" s="3" t="s">
        <v>9</v>
      </c>
      <c r="B1" s="3" t="s">
        <v>10</v>
      </c>
      <c r="C1" s="4" t="s">
        <v>11</v>
      </c>
      <c r="D1" s="4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4" t="s">
        <v>18</v>
      </c>
      <c r="K1" s="4" t="s">
        <v>19</v>
      </c>
      <c r="L1" s="3" t="s">
        <v>20</v>
      </c>
      <c r="M1" s="4" t="s">
        <v>21</v>
      </c>
      <c r="N1" s="4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</row>
    <row r="2" customFormat="false" ht="17.15" hidden="false" customHeight="false" outlineLevel="0" collapsed="false">
      <c r="A2" s="5" t="n">
        <v>1</v>
      </c>
      <c r="B2" s="5" t="s">
        <v>28</v>
      </c>
      <c r="C2" s="5" t="s">
        <v>29</v>
      </c>
      <c r="D2" s="5" t="s">
        <v>30</v>
      </c>
      <c r="E2" s="6" t="s">
        <v>31</v>
      </c>
      <c r="F2" s="7" t="s">
        <v>32</v>
      </c>
      <c r="G2" s="7" t="s">
        <v>33</v>
      </c>
      <c r="H2" s="7"/>
      <c r="I2" s="7"/>
      <c r="J2" s="7" t="n">
        <v>60</v>
      </c>
      <c r="K2" s="7" t="n">
        <v>34.3</v>
      </c>
      <c r="L2" s="7" t="n">
        <v>50</v>
      </c>
      <c r="M2" s="7" t="n">
        <v>80</v>
      </c>
      <c r="N2" s="7" t="n">
        <v>0</v>
      </c>
      <c r="O2" s="5" t="s">
        <v>34</v>
      </c>
      <c r="P2" s="5" t="s">
        <v>35</v>
      </c>
      <c r="Q2" s="7" t="n">
        <v>224.3</v>
      </c>
      <c r="R2" s="5" t="s">
        <v>36</v>
      </c>
      <c r="S2" s="7"/>
    </row>
    <row r="3" customFormat="false" ht="17.15" hidden="false" customHeight="false" outlineLevel="0" collapsed="false">
      <c r="A3" s="7" t="n">
        <v>2</v>
      </c>
      <c r="B3" s="5" t="s">
        <v>28</v>
      </c>
      <c r="C3" s="5" t="s">
        <v>37</v>
      </c>
      <c r="D3" s="5" t="s">
        <v>38</v>
      </c>
      <c r="E3" s="6" t="s">
        <v>31</v>
      </c>
      <c r="F3" s="7" t="s">
        <v>32</v>
      </c>
      <c r="G3" s="7" t="s">
        <v>39</v>
      </c>
      <c r="H3" s="7" t="n">
        <v>206.1</v>
      </c>
      <c r="I3" s="7"/>
      <c r="J3" s="7" t="n">
        <v>41.7</v>
      </c>
      <c r="K3" s="7" t="n">
        <v>44.4</v>
      </c>
      <c r="L3" s="7" t="n">
        <v>40</v>
      </c>
      <c r="M3" s="7" t="n">
        <v>80</v>
      </c>
      <c r="N3" s="7" t="n">
        <v>0</v>
      </c>
      <c r="O3" s="5" t="s">
        <v>40</v>
      </c>
      <c r="P3" s="5" t="s">
        <v>41</v>
      </c>
      <c r="Q3" s="7" t="n">
        <v>206.1</v>
      </c>
      <c r="R3" s="5" t="s">
        <v>42</v>
      </c>
      <c r="S3" s="7"/>
    </row>
    <row r="4" customFormat="false" ht="17.15" hidden="false" customHeight="false" outlineLevel="0" collapsed="false">
      <c r="A4" s="7" t="n">
        <v>3</v>
      </c>
      <c r="B4" s="5" t="s">
        <v>28</v>
      </c>
      <c r="C4" s="5" t="s">
        <v>43</v>
      </c>
      <c r="D4" s="5" t="s">
        <v>44</v>
      </c>
      <c r="E4" s="6" t="s">
        <v>31</v>
      </c>
      <c r="F4" s="7" t="s">
        <v>32</v>
      </c>
      <c r="G4" s="7" t="s">
        <v>45</v>
      </c>
      <c r="H4" s="7"/>
      <c r="I4" s="7"/>
      <c r="J4" s="7" t="n">
        <v>37.5</v>
      </c>
      <c r="K4" s="7" t="n">
        <v>33.3</v>
      </c>
      <c r="L4" s="7" t="n">
        <v>53.3</v>
      </c>
      <c r="M4" s="7" t="n">
        <v>80</v>
      </c>
      <c r="N4" s="7" t="n">
        <v>80</v>
      </c>
      <c r="O4" s="7" t="s">
        <v>46</v>
      </c>
      <c r="P4" s="5" t="s">
        <v>47</v>
      </c>
      <c r="Q4" s="7" t="n">
        <v>284.2</v>
      </c>
      <c r="R4" s="5" t="s">
        <v>48</v>
      </c>
      <c r="S4" s="7"/>
    </row>
    <row r="5" customFormat="false" ht="15" hidden="false" customHeight="false" outlineLevel="0" collapsed="false">
      <c r="A5" s="0" t="n">
        <v>4</v>
      </c>
      <c r="B5" s="8" t="s">
        <v>28</v>
      </c>
      <c r="C5" s="8" t="s">
        <v>49</v>
      </c>
      <c r="D5" s="8" t="s">
        <v>50</v>
      </c>
      <c r="E5" s="8" t="s">
        <v>31</v>
      </c>
      <c r="F5" s="8" t="s">
        <v>51</v>
      </c>
      <c r="I5" s="0" t="n">
        <v>100</v>
      </c>
      <c r="J5" s="0" t="n">
        <v>100</v>
      </c>
      <c r="K5" s="0" t="n">
        <v>100</v>
      </c>
      <c r="L5" s="0" t="n">
        <v>62.5</v>
      </c>
      <c r="M5" s="0" t="n">
        <v>0</v>
      </c>
      <c r="N5" s="0" t="n">
        <v>0</v>
      </c>
      <c r="O5" s="8" t="s">
        <v>52</v>
      </c>
      <c r="R5" s="8" t="s">
        <v>53</v>
      </c>
    </row>
    <row r="6" customFormat="false" ht="17.15" hidden="false" customHeight="false" outlineLevel="0" collapsed="false">
      <c r="A6" s="7" t="n">
        <v>5</v>
      </c>
      <c r="B6" s="5" t="s">
        <v>28</v>
      </c>
      <c r="C6" s="5" t="s">
        <v>54</v>
      </c>
      <c r="D6" s="5" t="s">
        <v>55</v>
      </c>
      <c r="E6" s="6" t="s">
        <v>56</v>
      </c>
      <c r="F6" s="7" t="s">
        <v>32</v>
      </c>
      <c r="G6" s="7" t="s">
        <v>57</v>
      </c>
      <c r="H6" s="7" t="n">
        <v>167.1</v>
      </c>
      <c r="I6" s="7"/>
      <c r="J6" s="7" t="n">
        <v>37.5</v>
      </c>
      <c r="K6" s="7" t="n">
        <v>29.6</v>
      </c>
      <c r="L6" s="7" t="n">
        <v>100</v>
      </c>
      <c r="M6" s="7" t="n">
        <v>0</v>
      </c>
      <c r="N6" s="7" t="n">
        <v>0</v>
      </c>
      <c r="O6" s="5" t="s">
        <v>58</v>
      </c>
      <c r="P6" s="5" t="s">
        <v>59</v>
      </c>
      <c r="Q6" s="7" t="n">
        <v>167.1</v>
      </c>
      <c r="R6" s="5" t="s">
        <v>60</v>
      </c>
      <c r="S6" s="7" t="s">
        <v>61</v>
      </c>
    </row>
    <row r="7" customFormat="false" ht="13.8" hidden="false" customHeight="false" outlineLevel="0" collapsed="false">
      <c r="A7" s="0" t="n">
        <v>6</v>
      </c>
      <c r="B7" s="8" t="s">
        <v>28</v>
      </c>
      <c r="C7" s="8" t="s">
        <v>62</v>
      </c>
      <c r="D7" s="8" t="s">
        <v>63</v>
      </c>
      <c r="E7" s="8" t="s">
        <v>31</v>
      </c>
      <c r="F7" s="8" t="s">
        <v>64</v>
      </c>
      <c r="I7" s="0" t="n">
        <v>100</v>
      </c>
      <c r="J7" s="0" t="n">
        <v>100</v>
      </c>
      <c r="K7" s="0" t="n">
        <v>93.3</v>
      </c>
      <c r="L7" s="0" t="n">
        <v>75</v>
      </c>
      <c r="M7" s="0" t="n">
        <v>0</v>
      </c>
      <c r="N7" s="0" t="n">
        <v>0</v>
      </c>
      <c r="O7" s="8" t="s">
        <v>65</v>
      </c>
      <c r="R7" s="8" t="s">
        <v>66</v>
      </c>
    </row>
    <row r="8" customFormat="false" ht="13.8" hidden="false" customHeight="false" outlineLevel="0" collapsed="false">
      <c r="A8" s="0" t="n">
        <v>7</v>
      </c>
      <c r="B8" s="8" t="s">
        <v>28</v>
      </c>
      <c r="C8" s="8" t="s">
        <v>67</v>
      </c>
      <c r="D8" s="8" t="s">
        <v>68</v>
      </c>
      <c r="E8" s="8" t="s">
        <v>31</v>
      </c>
      <c r="F8" s="8" t="s">
        <v>69</v>
      </c>
      <c r="I8" s="0" t="n">
        <v>80</v>
      </c>
      <c r="J8" s="0" t="n">
        <v>100</v>
      </c>
      <c r="K8" s="0" t="n">
        <v>100</v>
      </c>
      <c r="L8" s="0" t="n">
        <v>75</v>
      </c>
      <c r="M8" s="0" t="n">
        <v>80</v>
      </c>
      <c r="N8" s="0" t="n">
        <v>0</v>
      </c>
      <c r="O8" s="8" t="s">
        <v>70</v>
      </c>
      <c r="R8" s="8" t="s">
        <v>71</v>
      </c>
    </row>
    <row r="9" customFormat="false" ht="17.15" hidden="false" customHeight="false" outlineLevel="0" collapsed="false">
      <c r="A9" s="7" t="n">
        <v>8</v>
      </c>
      <c r="B9" s="5" t="s">
        <v>28</v>
      </c>
      <c r="C9" s="5" t="s">
        <v>72</v>
      </c>
      <c r="D9" s="5" t="s">
        <v>73</v>
      </c>
      <c r="E9" s="6" t="s">
        <v>56</v>
      </c>
      <c r="F9" s="7" t="s">
        <v>32</v>
      </c>
      <c r="G9" s="7" t="s">
        <v>74</v>
      </c>
      <c r="H9" s="7"/>
      <c r="I9" s="7"/>
      <c r="J9" s="7" t="n">
        <v>28.6</v>
      </c>
      <c r="K9" s="7" t="n">
        <v>45.5</v>
      </c>
      <c r="L9" s="7" t="n">
        <v>62.5</v>
      </c>
      <c r="M9" s="7" t="n">
        <v>100</v>
      </c>
      <c r="N9" s="7" t="n">
        <v>0</v>
      </c>
      <c r="O9" s="5" t="s">
        <v>75</v>
      </c>
      <c r="P9" s="5" t="s">
        <v>76</v>
      </c>
      <c r="Q9" s="7" t="n">
        <v>236.5</v>
      </c>
      <c r="R9" s="5" t="s">
        <v>77</v>
      </c>
      <c r="S9" s="7" t="s">
        <v>78</v>
      </c>
    </row>
    <row r="10" customFormat="false" ht="17.15" hidden="false" customHeight="false" outlineLevel="0" collapsed="false">
      <c r="A10" s="7" t="n">
        <v>9</v>
      </c>
      <c r="B10" s="5" t="s">
        <v>28</v>
      </c>
      <c r="C10" s="5" t="s">
        <v>79</v>
      </c>
      <c r="D10" s="5" t="s">
        <v>30</v>
      </c>
      <c r="E10" s="6" t="s">
        <v>56</v>
      </c>
      <c r="F10" s="7" t="s">
        <v>32</v>
      </c>
      <c r="G10" s="7" t="s">
        <v>80</v>
      </c>
      <c r="H10" s="7"/>
      <c r="I10" s="7"/>
      <c r="J10" s="7" t="n">
        <v>60</v>
      </c>
      <c r="K10" s="7" t="n">
        <v>27</v>
      </c>
      <c r="L10" s="7" t="n">
        <v>53.3</v>
      </c>
      <c r="M10" s="7" t="n">
        <v>0</v>
      </c>
      <c r="N10" s="7" t="n">
        <v>80</v>
      </c>
      <c r="O10" s="5" t="s">
        <v>81</v>
      </c>
      <c r="P10" s="5" t="s">
        <v>82</v>
      </c>
      <c r="Q10" s="7" t="n">
        <v>220.4</v>
      </c>
      <c r="R10" s="5" t="s">
        <v>83</v>
      </c>
      <c r="S10" s="7" t="s">
        <v>84</v>
      </c>
    </row>
    <row r="11" customFormat="false" ht="13.8" hidden="false" customHeight="false" outlineLevel="0" collapsed="false">
      <c r="A11" s="0" t="n">
        <v>10</v>
      </c>
      <c r="B11" s="8" t="s">
        <v>28</v>
      </c>
      <c r="C11" s="8" t="s">
        <v>85</v>
      </c>
      <c r="D11" s="8" t="s">
        <v>86</v>
      </c>
      <c r="E11" s="8" t="s">
        <v>31</v>
      </c>
      <c r="F11" s="8" t="s">
        <v>35</v>
      </c>
      <c r="I11" s="0" t="n">
        <v>80</v>
      </c>
      <c r="J11" s="0" t="n">
        <v>90</v>
      </c>
      <c r="K11" s="0" t="n">
        <v>30.8</v>
      </c>
      <c r="L11" s="0" t="n">
        <v>87.5</v>
      </c>
      <c r="M11" s="0" t="n">
        <v>80</v>
      </c>
      <c r="N11" s="0" t="n">
        <v>0</v>
      </c>
      <c r="O11" s="8" t="s">
        <v>34</v>
      </c>
      <c r="R11" s="8" t="s">
        <v>87</v>
      </c>
    </row>
    <row r="12" customFormat="false" ht="13.8" hidden="false" customHeight="false" outlineLevel="0" collapsed="false">
      <c r="A12" s="0" t="n">
        <v>11</v>
      </c>
      <c r="B12" s="8" t="s">
        <v>28</v>
      </c>
      <c r="C12" s="8" t="s">
        <v>88</v>
      </c>
      <c r="D12" s="8" t="s">
        <v>89</v>
      </c>
      <c r="E12" s="8" t="s">
        <v>31</v>
      </c>
      <c r="F12" s="8" t="s">
        <v>82</v>
      </c>
      <c r="I12" s="0" t="n">
        <v>100</v>
      </c>
      <c r="J12" s="0" t="n">
        <v>73.3</v>
      </c>
      <c r="K12" s="0" t="n">
        <v>33.3</v>
      </c>
      <c r="L12" s="0" t="n">
        <v>100</v>
      </c>
      <c r="M12" s="0" t="n">
        <v>0</v>
      </c>
      <c r="N12" s="0" t="n">
        <v>100</v>
      </c>
      <c r="O12" s="8" t="s">
        <v>81</v>
      </c>
      <c r="R12" s="8" t="s">
        <v>90</v>
      </c>
    </row>
    <row r="13" customFormat="false" ht="17.15" hidden="false" customHeight="false" outlineLevel="0" collapsed="false">
      <c r="A13" s="7" t="n">
        <v>12</v>
      </c>
      <c r="B13" s="5" t="s">
        <v>28</v>
      </c>
      <c r="C13" s="5" t="s">
        <v>91</v>
      </c>
      <c r="D13" s="5" t="s">
        <v>92</v>
      </c>
      <c r="E13" s="6" t="s">
        <v>56</v>
      </c>
      <c r="F13" s="7" t="s">
        <v>32</v>
      </c>
      <c r="G13" s="7" t="s">
        <v>93</v>
      </c>
      <c r="H13" s="7" t="n">
        <v>282.1</v>
      </c>
      <c r="I13" s="7"/>
      <c r="J13" s="7" t="n">
        <v>47.1</v>
      </c>
      <c r="K13" s="7" t="n">
        <v>25</v>
      </c>
      <c r="L13" s="7" t="n">
        <v>50</v>
      </c>
      <c r="M13" s="7" t="n">
        <v>80</v>
      </c>
      <c r="N13" s="7" t="n">
        <v>80</v>
      </c>
      <c r="O13" s="5" t="s">
        <v>94</v>
      </c>
      <c r="P13" s="5" t="s">
        <v>95</v>
      </c>
      <c r="Q13" s="7" t="n">
        <v>282.1</v>
      </c>
      <c r="R13" s="5" t="s">
        <v>96</v>
      </c>
      <c r="S13" s="7" t="s">
        <v>97</v>
      </c>
    </row>
    <row r="14" customFormat="false" ht="13.8" hidden="false" customHeight="false" outlineLevel="0" collapsed="false">
      <c r="A14" s="0" t="n">
        <v>13</v>
      </c>
      <c r="B14" s="8" t="s">
        <v>28</v>
      </c>
      <c r="C14" s="8" t="s">
        <v>98</v>
      </c>
      <c r="D14" s="8" t="s">
        <v>99</v>
      </c>
      <c r="E14" s="8" t="s">
        <v>31</v>
      </c>
      <c r="F14" s="8" t="s">
        <v>100</v>
      </c>
      <c r="I14" s="0" t="n">
        <v>100</v>
      </c>
      <c r="J14" s="0" t="n">
        <v>100</v>
      </c>
      <c r="K14" s="0" t="n">
        <v>100</v>
      </c>
      <c r="L14" s="0" t="n">
        <v>75</v>
      </c>
      <c r="M14" s="0" t="n">
        <v>100</v>
      </c>
      <c r="N14" s="0" t="n">
        <v>80</v>
      </c>
      <c r="O14" s="8" t="s">
        <v>101</v>
      </c>
      <c r="R14" s="8" t="s">
        <v>102</v>
      </c>
    </row>
    <row r="15" customFormat="false" ht="13.8" hidden="false" customHeight="false" outlineLevel="0" collapsed="false">
      <c r="A15" s="0" t="n">
        <v>14</v>
      </c>
      <c r="B15" s="8" t="s">
        <v>28</v>
      </c>
      <c r="C15" s="8" t="s">
        <v>103</v>
      </c>
      <c r="D15" s="8" t="s">
        <v>104</v>
      </c>
      <c r="E15" s="8" t="s">
        <v>31</v>
      </c>
      <c r="F15" s="8" t="s">
        <v>105</v>
      </c>
      <c r="I15" s="0" t="n">
        <v>100</v>
      </c>
      <c r="J15" s="0" t="n">
        <v>46.7</v>
      </c>
      <c r="K15" s="0" t="n">
        <v>88.9</v>
      </c>
      <c r="L15" s="0" t="n">
        <v>0</v>
      </c>
      <c r="M15" s="0" t="n">
        <v>80</v>
      </c>
      <c r="N15" s="0" t="n">
        <v>100</v>
      </c>
      <c r="O15" s="8" t="s">
        <v>106</v>
      </c>
      <c r="R15" s="8" t="s">
        <v>107</v>
      </c>
    </row>
    <row r="16" customFormat="false" ht="13.8" hidden="false" customHeight="false" outlineLevel="0" collapsed="false">
      <c r="A16" s="0" t="n">
        <v>15</v>
      </c>
      <c r="B16" s="8" t="s">
        <v>28</v>
      </c>
      <c r="C16" s="8" t="s">
        <v>108</v>
      </c>
      <c r="D16" s="8" t="s">
        <v>109</v>
      </c>
      <c r="E16" s="8" t="s">
        <v>31</v>
      </c>
      <c r="F16" s="8" t="s">
        <v>110</v>
      </c>
      <c r="I16" s="0" t="n">
        <v>100</v>
      </c>
      <c r="J16" s="0" t="n">
        <v>47.6</v>
      </c>
      <c r="K16" s="0" t="n">
        <v>100</v>
      </c>
      <c r="L16" s="0" t="n">
        <v>0</v>
      </c>
      <c r="M16" s="0" t="n">
        <v>100</v>
      </c>
      <c r="N16" s="0" t="n">
        <v>100</v>
      </c>
      <c r="O16" s="8" t="s">
        <v>111</v>
      </c>
      <c r="R16" s="8" t="s">
        <v>112</v>
      </c>
    </row>
    <row r="17" customFormat="false" ht="13.8" hidden="false" customHeight="false" outlineLevel="0" collapsed="false">
      <c r="A17" s="0" t="n">
        <v>16</v>
      </c>
      <c r="B17" s="8" t="s">
        <v>28</v>
      </c>
      <c r="C17" s="8" t="s">
        <v>113</v>
      </c>
      <c r="D17" s="8" t="s">
        <v>50</v>
      </c>
      <c r="E17" s="8" t="s">
        <v>31</v>
      </c>
      <c r="F17" s="8" t="s">
        <v>76</v>
      </c>
      <c r="I17" s="0" t="n">
        <v>100</v>
      </c>
      <c r="J17" s="0" t="n">
        <v>100</v>
      </c>
      <c r="K17" s="0" t="n">
        <v>100</v>
      </c>
      <c r="L17" s="0" t="n">
        <v>100</v>
      </c>
      <c r="M17" s="0" t="n">
        <v>100</v>
      </c>
      <c r="N17" s="0" t="n">
        <v>80</v>
      </c>
      <c r="O17" s="8" t="s">
        <v>75</v>
      </c>
      <c r="R17" s="8" t="s">
        <v>114</v>
      </c>
    </row>
    <row r="18" customFormat="false" ht="17.15" hidden="false" customHeight="false" outlineLevel="0" collapsed="false">
      <c r="A18" s="0" t="n">
        <v>17</v>
      </c>
      <c r="B18" s="8" t="s">
        <v>28</v>
      </c>
      <c r="C18" s="8" t="s">
        <v>115</v>
      </c>
      <c r="D18" s="8" t="s">
        <v>116</v>
      </c>
      <c r="E18" s="8" t="s">
        <v>31</v>
      </c>
      <c r="F18" s="8" t="s">
        <v>117</v>
      </c>
      <c r="I18" s="0" t="n">
        <v>100</v>
      </c>
      <c r="J18" s="0" t="n">
        <v>77.8</v>
      </c>
      <c r="K18" s="0" t="n">
        <v>100</v>
      </c>
      <c r="L18" s="0" t="n">
        <v>80</v>
      </c>
      <c r="M18" s="0" t="n">
        <v>0</v>
      </c>
      <c r="N18" s="0" t="n">
        <v>0</v>
      </c>
      <c r="O18" s="8" t="s">
        <v>118</v>
      </c>
      <c r="R18" s="8" t="s">
        <v>119</v>
      </c>
    </row>
    <row r="19" customFormat="false" ht="13.8" hidden="false" customHeight="false" outlineLevel="0" collapsed="false">
      <c r="A19" s="0" t="n">
        <v>18</v>
      </c>
      <c r="B19" s="8" t="s">
        <v>28</v>
      </c>
      <c r="C19" s="8" t="s">
        <v>120</v>
      </c>
      <c r="D19" s="8" t="s">
        <v>109</v>
      </c>
      <c r="E19" s="8" t="s">
        <v>31</v>
      </c>
      <c r="F19" s="8" t="s">
        <v>121</v>
      </c>
      <c r="I19" s="0" t="n">
        <v>100</v>
      </c>
      <c r="J19" s="0" t="n">
        <v>69.2</v>
      </c>
      <c r="K19" s="0" t="n">
        <v>100</v>
      </c>
      <c r="L19" s="0" t="n">
        <v>53.3</v>
      </c>
      <c r="M19" s="0" t="n">
        <v>80</v>
      </c>
      <c r="N19" s="0" t="n">
        <v>100</v>
      </c>
      <c r="O19" s="8" t="s">
        <v>122</v>
      </c>
      <c r="R19" s="8" t="s">
        <v>123</v>
      </c>
    </row>
    <row r="20" customFormat="false" ht="13.8" hidden="false" customHeight="false" outlineLevel="0" collapsed="false">
      <c r="A20" s="0" t="n">
        <v>19</v>
      </c>
      <c r="B20" s="8" t="s">
        <v>28</v>
      </c>
      <c r="C20" s="8" t="s">
        <v>124</v>
      </c>
      <c r="D20" s="8" t="s">
        <v>125</v>
      </c>
      <c r="E20" s="8" t="s">
        <v>31</v>
      </c>
      <c r="F20" s="8" t="s">
        <v>126</v>
      </c>
      <c r="I20" s="0" t="n">
        <v>80</v>
      </c>
      <c r="J20" s="0" t="n">
        <v>85.7</v>
      </c>
      <c r="K20" s="0" t="n">
        <v>93.3</v>
      </c>
      <c r="L20" s="0" t="n">
        <v>100</v>
      </c>
      <c r="M20" s="0" t="n">
        <v>80</v>
      </c>
      <c r="N20" s="0" t="n">
        <v>0</v>
      </c>
      <c r="O20" s="8" t="s">
        <v>127</v>
      </c>
      <c r="R20" s="8" t="s">
        <v>128</v>
      </c>
    </row>
    <row r="21" customFormat="false" ht="13.8" hidden="false" customHeight="false" outlineLevel="0" collapsed="false">
      <c r="A21" s="0" t="n">
        <v>20</v>
      </c>
      <c r="B21" s="8" t="s">
        <v>28</v>
      </c>
      <c r="C21" s="8" t="s">
        <v>129</v>
      </c>
      <c r="D21" s="8" t="s">
        <v>89</v>
      </c>
      <c r="E21" s="8" t="s">
        <v>31</v>
      </c>
      <c r="F21" s="8" t="s">
        <v>130</v>
      </c>
      <c r="I21" s="0" t="n">
        <v>100</v>
      </c>
      <c r="J21" s="0" t="n">
        <v>86.7</v>
      </c>
      <c r="K21" s="0" t="n">
        <v>33.3</v>
      </c>
      <c r="L21" s="0" t="n">
        <v>100</v>
      </c>
      <c r="M21" s="0" t="n">
        <v>80</v>
      </c>
      <c r="N21" s="0" t="n">
        <v>100</v>
      </c>
      <c r="O21" s="8" t="s">
        <v>131</v>
      </c>
      <c r="R21" s="8" t="s">
        <v>132</v>
      </c>
    </row>
    <row r="22" customFormat="false" ht="13.8" hidden="false" customHeight="false" outlineLevel="0" collapsed="false">
      <c r="A22" s="0" t="n">
        <v>21</v>
      </c>
      <c r="B22" s="8" t="s">
        <v>28</v>
      </c>
      <c r="C22" s="8" t="s">
        <v>133</v>
      </c>
      <c r="D22" s="8" t="s">
        <v>134</v>
      </c>
      <c r="E22" s="8" t="s">
        <v>31</v>
      </c>
      <c r="F22" s="8" t="s">
        <v>135</v>
      </c>
      <c r="I22" s="0" t="n">
        <v>100</v>
      </c>
      <c r="J22" s="0" t="n">
        <v>62.5</v>
      </c>
      <c r="K22" s="0" t="n">
        <v>87.5</v>
      </c>
      <c r="L22" s="0" t="n">
        <v>0</v>
      </c>
      <c r="M22" s="0" t="n">
        <v>100</v>
      </c>
      <c r="N22" s="0" t="n">
        <v>100</v>
      </c>
      <c r="O22" s="8" t="s">
        <v>136</v>
      </c>
      <c r="R22" s="8" t="s">
        <v>137</v>
      </c>
    </row>
    <row r="23" customFormat="false" ht="17.15" hidden="false" customHeight="false" outlineLevel="0" collapsed="false">
      <c r="A23" s="7" t="n">
        <v>22</v>
      </c>
      <c r="B23" s="5" t="s">
        <v>28</v>
      </c>
      <c r="C23" s="5" t="s">
        <v>138</v>
      </c>
      <c r="D23" s="5" t="s">
        <v>139</v>
      </c>
      <c r="E23" s="6" t="s">
        <v>56</v>
      </c>
      <c r="F23" s="7" t="s">
        <v>32</v>
      </c>
      <c r="G23" s="7" t="s">
        <v>140</v>
      </c>
      <c r="H23" s="7" t="n">
        <v>335.8</v>
      </c>
      <c r="I23" s="7"/>
      <c r="J23" s="7" t="n">
        <v>62.5</v>
      </c>
      <c r="K23" s="7" t="n">
        <v>33.3</v>
      </c>
      <c r="L23" s="7" t="n">
        <v>80</v>
      </c>
      <c r="M23" s="7" t="n">
        <v>80</v>
      </c>
      <c r="N23" s="7" t="n">
        <v>80</v>
      </c>
      <c r="O23" s="7" t="s">
        <v>46</v>
      </c>
      <c r="P23" s="5" t="s">
        <v>47</v>
      </c>
      <c r="Q23" s="7" t="n">
        <v>335.8</v>
      </c>
      <c r="R23" s="5" t="s">
        <v>141</v>
      </c>
      <c r="S23" s="7" t="s">
        <v>142</v>
      </c>
    </row>
    <row r="24" customFormat="false" ht="13.8" hidden="false" customHeight="false" outlineLevel="0" collapsed="false">
      <c r="A24" s="0" t="n">
        <v>23</v>
      </c>
      <c r="B24" s="8" t="s">
        <v>28</v>
      </c>
      <c r="C24" s="8" t="s">
        <v>143</v>
      </c>
      <c r="D24" s="8" t="s">
        <v>144</v>
      </c>
      <c r="E24" s="8" t="s">
        <v>31</v>
      </c>
      <c r="F24" s="8" t="s">
        <v>145</v>
      </c>
      <c r="I24" s="0" t="n">
        <v>100</v>
      </c>
      <c r="J24" s="0" t="n">
        <v>100</v>
      </c>
      <c r="K24" s="0" t="n">
        <v>11.8</v>
      </c>
      <c r="L24" s="0" t="n">
        <v>14.3</v>
      </c>
      <c r="M24" s="0" t="n">
        <v>100</v>
      </c>
      <c r="N24" s="0" t="n">
        <v>100</v>
      </c>
      <c r="O24" s="8" t="s">
        <v>146</v>
      </c>
      <c r="R24" s="8" t="s">
        <v>147</v>
      </c>
    </row>
    <row r="25" customFormat="false" ht="13.8" hidden="false" customHeight="false" outlineLevel="0" collapsed="false">
      <c r="A25" s="0" t="n">
        <v>24</v>
      </c>
      <c r="B25" s="8" t="s">
        <v>28</v>
      </c>
      <c r="C25" s="8" t="s">
        <v>148</v>
      </c>
      <c r="D25" s="8" t="s">
        <v>73</v>
      </c>
      <c r="E25" s="8" t="s">
        <v>31</v>
      </c>
      <c r="F25" s="8" t="s">
        <v>149</v>
      </c>
      <c r="I25" s="0" t="n">
        <v>80</v>
      </c>
      <c r="J25" s="0" t="n">
        <v>86.7</v>
      </c>
      <c r="K25" s="0" t="n">
        <v>50</v>
      </c>
      <c r="L25" s="0" t="n">
        <v>100</v>
      </c>
      <c r="M25" s="0" t="n">
        <v>80</v>
      </c>
      <c r="N25" s="0" t="n">
        <v>80</v>
      </c>
      <c r="O25" s="8" t="s">
        <v>150</v>
      </c>
      <c r="R25" s="8" t="s">
        <v>151</v>
      </c>
    </row>
    <row r="26" customFormat="false" ht="17.15" hidden="false" customHeight="false" outlineLevel="0" collapsed="false">
      <c r="A26" s="7" t="n">
        <v>25</v>
      </c>
      <c r="B26" s="5" t="s">
        <v>28</v>
      </c>
      <c r="C26" s="5" t="s">
        <v>152</v>
      </c>
      <c r="D26" s="5" t="s">
        <v>153</v>
      </c>
      <c r="E26" s="6" t="s">
        <v>56</v>
      </c>
      <c r="F26" s="7" t="s">
        <v>32</v>
      </c>
      <c r="G26" s="7" t="s">
        <v>154</v>
      </c>
      <c r="H26" s="7" t="n">
        <v>220.1</v>
      </c>
      <c r="I26" s="7"/>
      <c r="J26" s="7" t="n">
        <v>52.6</v>
      </c>
      <c r="K26" s="7" t="n">
        <v>25</v>
      </c>
      <c r="L26" s="7" t="n">
        <v>62.5</v>
      </c>
      <c r="M26" s="7" t="n">
        <v>80</v>
      </c>
      <c r="N26" s="7" t="n">
        <v>0</v>
      </c>
      <c r="O26" s="5" t="s">
        <v>155</v>
      </c>
      <c r="P26" s="5" t="s">
        <v>156</v>
      </c>
      <c r="Q26" s="7" t="n">
        <v>220.1</v>
      </c>
      <c r="R26" s="5" t="s">
        <v>157</v>
      </c>
      <c r="S26" s="5" t="s">
        <v>158</v>
      </c>
    </row>
    <row r="27" customFormat="false" ht="13.8" hidden="false" customHeight="false" outlineLevel="0" collapsed="false">
      <c r="A27" s="0" t="n">
        <v>26</v>
      </c>
      <c r="B27" s="8" t="s">
        <v>28</v>
      </c>
      <c r="C27" s="8" t="s">
        <v>159</v>
      </c>
      <c r="D27" s="8" t="s">
        <v>160</v>
      </c>
      <c r="E27" s="8" t="s">
        <v>31</v>
      </c>
      <c r="F27" s="8" t="s">
        <v>161</v>
      </c>
      <c r="I27" s="0" t="n">
        <v>100</v>
      </c>
      <c r="J27" s="0" t="n">
        <v>85.7</v>
      </c>
      <c r="K27" s="0" t="n">
        <v>93.3</v>
      </c>
      <c r="L27" s="0" t="n">
        <v>100</v>
      </c>
      <c r="M27" s="0" t="n">
        <v>100</v>
      </c>
      <c r="N27" s="0" t="n">
        <v>0</v>
      </c>
      <c r="O27" s="8" t="s">
        <v>162</v>
      </c>
      <c r="R27" s="8" t="s">
        <v>163</v>
      </c>
    </row>
    <row r="28" customFormat="false" ht="13.8" hidden="false" customHeight="false" outlineLevel="0" collapsed="false">
      <c r="A28" s="0" t="n">
        <v>27</v>
      </c>
      <c r="B28" s="8" t="s">
        <v>28</v>
      </c>
      <c r="C28" s="8" t="s">
        <v>164</v>
      </c>
      <c r="D28" s="8" t="s">
        <v>30</v>
      </c>
      <c r="E28" s="8" t="s">
        <v>31</v>
      </c>
      <c r="F28" s="8" t="s">
        <v>165</v>
      </c>
      <c r="I28" s="0" t="n">
        <v>80</v>
      </c>
      <c r="J28" s="0" t="n">
        <v>50</v>
      </c>
      <c r="K28" s="0" t="n">
        <v>61.5</v>
      </c>
      <c r="L28" s="0" t="n">
        <v>100</v>
      </c>
      <c r="M28" s="0" t="n">
        <v>0</v>
      </c>
      <c r="N28" s="0" t="n">
        <v>80</v>
      </c>
      <c r="O28" s="8" t="s">
        <v>166</v>
      </c>
      <c r="R28" s="8" t="s">
        <v>167</v>
      </c>
    </row>
    <row r="29" customFormat="false" ht="13.8" hidden="false" customHeight="false" outlineLevel="0" collapsed="false">
      <c r="A29" s="0" t="n">
        <v>28</v>
      </c>
      <c r="B29" s="8" t="s">
        <v>28</v>
      </c>
      <c r="C29" s="8" t="s">
        <v>168</v>
      </c>
      <c r="D29" s="8" t="s">
        <v>109</v>
      </c>
      <c r="E29" s="8" t="s">
        <v>31</v>
      </c>
      <c r="F29" s="8" t="s">
        <v>169</v>
      </c>
      <c r="I29" s="0" t="n">
        <v>100</v>
      </c>
      <c r="J29" s="0" t="n">
        <v>47.6</v>
      </c>
      <c r="K29" s="0" t="n">
        <v>100</v>
      </c>
      <c r="L29" s="0" t="n">
        <v>0</v>
      </c>
      <c r="M29" s="0" t="n">
        <v>100</v>
      </c>
      <c r="N29" s="0" t="n">
        <v>100</v>
      </c>
      <c r="O29" s="8" t="s">
        <v>170</v>
      </c>
      <c r="R29" s="8" t="s">
        <v>171</v>
      </c>
    </row>
    <row r="30" customFormat="false" ht="13.8" hidden="false" customHeight="false" outlineLevel="0" collapsed="false">
      <c r="A30" s="0" t="n">
        <v>29</v>
      </c>
      <c r="B30" s="8" t="s">
        <v>28</v>
      </c>
      <c r="C30" s="8" t="s">
        <v>172</v>
      </c>
      <c r="D30" s="8" t="s">
        <v>173</v>
      </c>
      <c r="E30" s="8" t="s">
        <v>31</v>
      </c>
      <c r="F30" s="8" t="s">
        <v>174</v>
      </c>
      <c r="I30" s="0" t="n">
        <v>80</v>
      </c>
      <c r="J30" s="0" t="n">
        <v>100</v>
      </c>
      <c r="K30" s="0" t="n">
        <v>100</v>
      </c>
      <c r="L30" s="0" t="n">
        <v>100</v>
      </c>
      <c r="M30" s="0" t="n">
        <v>80</v>
      </c>
      <c r="N30" s="0" t="n">
        <v>0</v>
      </c>
      <c r="O30" s="8" t="s">
        <v>175</v>
      </c>
      <c r="R30" s="8" t="s">
        <v>176</v>
      </c>
    </row>
    <row r="31" customFormat="false" ht="17.15" hidden="false" customHeight="false" outlineLevel="0" collapsed="false">
      <c r="A31" s="0" t="n">
        <v>30</v>
      </c>
      <c r="B31" s="8" t="s">
        <v>28</v>
      </c>
      <c r="C31" s="8" t="s">
        <v>177</v>
      </c>
      <c r="D31" s="8" t="s">
        <v>86</v>
      </c>
      <c r="E31" s="8" t="s">
        <v>31</v>
      </c>
      <c r="F31" s="8" t="s">
        <v>178</v>
      </c>
      <c r="I31" s="0" t="n">
        <v>80</v>
      </c>
      <c r="J31" s="0" t="n">
        <v>100</v>
      </c>
      <c r="K31" s="0" t="n">
        <v>82.4</v>
      </c>
      <c r="L31" s="0" t="n">
        <v>100</v>
      </c>
      <c r="M31" s="0" t="n">
        <v>80</v>
      </c>
      <c r="N31" s="0" t="n">
        <v>80</v>
      </c>
      <c r="O31" s="8" t="s">
        <v>179</v>
      </c>
      <c r="R31" s="8" t="s">
        <v>180</v>
      </c>
    </row>
    <row r="32" customFormat="false" ht="17.15" hidden="false" customHeight="false" outlineLevel="0" collapsed="false">
      <c r="A32" s="7" t="n">
        <v>31</v>
      </c>
      <c r="B32" s="5" t="s">
        <v>28</v>
      </c>
      <c r="C32" s="5" t="s">
        <v>181</v>
      </c>
      <c r="D32" s="5" t="s">
        <v>182</v>
      </c>
      <c r="E32" s="6" t="s">
        <v>31</v>
      </c>
      <c r="F32" s="7" t="s">
        <v>32</v>
      </c>
      <c r="G32" s="7" t="s">
        <v>183</v>
      </c>
      <c r="H32" s="7" t="n">
        <v>123.6</v>
      </c>
      <c r="I32" s="7"/>
      <c r="J32" s="7" t="n">
        <v>50</v>
      </c>
      <c r="K32" s="7" t="n">
        <v>30.8</v>
      </c>
      <c r="L32" s="7" t="n">
        <v>42.9</v>
      </c>
      <c r="M32" s="7" t="n">
        <v>0</v>
      </c>
      <c r="N32" s="7" t="n">
        <v>0</v>
      </c>
      <c r="O32" s="5" t="s">
        <v>184</v>
      </c>
      <c r="P32" s="5" t="s">
        <v>185</v>
      </c>
      <c r="Q32" s="7" t="n">
        <v>123.6</v>
      </c>
      <c r="R32" s="5" t="s">
        <v>186</v>
      </c>
      <c r="S32" s="7"/>
    </row>
    <row r="33" customFormat="false" ht="17.15" hidden="false" customHeight="false" outlineLevel="0" collapsed="false">
      <c r="A33" s="7" t="n">
        <v>32</v>
      </c>
      <c r="B33" s="5" t="s">
        <v>28</v>
      </c>
      <c r="C33" s="5" t="s">
        <v>187</v>
      </c>
      <c r="D33" s="5" t="s">
        <v>188</v>
      </c>
      <c r="E33" s="6" t="s">
        <v>31</v>
      </c>
      <c r="F33" s="7" t="s">
        <v>32</v>
      </c>
      <c r="G33" s="7" t="s">
        <v>189</v>
      </c>
      <c r="H33" s="7"/>
      <c r="I33" s="7"/>
      <c r="J33" s="7" t="n">
        <v>33.3</v>
      </c>
      <c r="K33" s="7" t="n">
        <v>28.6</v>
      </c>
      <c r="L33" s="7" t="n">
        <v>62.5</v>
      </c>
      <c r="M33" s="7" t="n">
        <v>80</v>
      </c>
      <c r="N33" s="7" t="n">
        <v>80</v>
      </c>
      <c r="O33" s="5" t="s">
        <v>127</v>
      </c>
      <c r="P33" s="5" t="s">
        <v>126</v>
      </c>
      <c r="Q33" s="7" t="n">
        <v>284.4</v>
      </c>
      <c r="R33" s="5" t="s">
        <v>190</v>
      </c>
      <c r="S33" s="7"/>
    </row>
    <row r="34" customFormat="false" ht="17.15" hidden="false" customHeight="false" outlineLevel="0" collapsed="false">
      <c r="A34" s="7" t="n">
        <v>33</v>
      </c>
      <c r="B34" s="5" t="s">
        <v>28</v>
      </c>
      <c r="C34" s="5" t="s">
        <v>191</v>
      </c>
      <c r="D34" s="5" t="s">
        <v>73</v>
      </c>
      <c r="E34" s="6" t="s">
        <v>31</v>
      </c>
      <c r="F34" s="7" t="s">
        <v>32</v>
      </c>
      <c r="G34" s="7" t="s">
        <v>192</v>
      </c>
      <c r="H34" s="7"/>
      <c r="I34" s="7"/>
      <c r="J34" s="7" t="n">
        <v>61.5</v>
      </c>
      <c r="K34" s="7" t="n">
        <v>50</v>
      </c>
      <c r="L34" s="7" t="n">
        <v>75</v>
      </c>
      <c r="M34" s="7" t="n">
        <v>80</v>
      </c>
      <c r="N34" s="7" t="n">
        <v>0</v>
      </c>
      <c r="O34" s="5" t="s">
        <v>150</v>
      </c>
      <c r="P34" s="5" t="s">
        <v>149</v>
      </c>
      <c r="Q34" s="7" t="n">
        <v>266.5</v>
      </c>
      <c r="R34" s="5" t="s">
        <v>193</v>
      </c>
      <c r="S34" s="7"/>
    </row>
    <row r="35" customFormat="false" ht="13.8" hidden="false" customHeight="false" outlineLevel="0" collapsed="false">
      <c r="A35" s="0" t="n">
        <v>34</v>
      </c>
      <c r="B35" s="8" t="s">
        <v>194</v>
      </c>
      <c r="C35" s="8" t="s">
        <v>29</v>
      </c>
      <c r="D35" s="8" t="s">
        <v>30</v>
      </c>
      <c r="E35" s="8" t="s">
        <v>31</v>
      </c>
      <c r="F35" s="8" t="s">
        <v>121</v>
      </c>
      <c r="I35" s="0" t="n">
        <v>80</v>
      </c>
      <c r="J35" s="0" t="n">
        <v>50</v>
      </c>
      <c r="K35" s="0" t="n">
        <v>65.4</v>
      </c>
      <c r="L35" s="0" t="n">
        <v>87.5</v>
      </c>
      <c r="M35" s="0" t="n">
        <v>0</v>
      </c>
      <c r="N35" s="0" t="n">
        <v>80</v>
      </c>
      <c r="O35" s="8" t="s">
        <v>195</v>
      </c>
      <c r="R35" s="8" t="s">
        <v>196</v>
      </c>
    </row>
    <row r="36" customFormat="false" ht="13.8" hidden="false" customHeight="false" outlineLevel="0" collapsed="false">
      <c r="A36" s="0" t="n">
        <v>35</v>
      </c>
      <c r="B36" s="8" t="s">
        <v>194</v>
      </c>
      <c r="C36" s="8" t="s">
        <v>37</v>
      </c>
      <c r="D36" s="8" t="s">
        <v>38</v>
      </c>
      <c r="E36" s="8" t="s">
        <v>31</v>
      </c>
      <c r="F36" s="8" t="s">
        <v>169</v>
      </c>
      <c r="I36" s="0" t="n">
        <v>100</v>
      </c>
      <c r="J36" s="0" t="n">
        <v>41.7</v>
      </c>
      <c r="K36" s="0" t="n">
        <v>100</v>
      </c>
      <c r="L36" s="0" t="n">
        <v>0</v>
      </c>
      <c r="M36" s="0" t="n">
        <v>80</v>
      </c>
      <c r="N36" s="0" t="n">
        <v>100</v>
      </c>
      <c r="O36" s="8" t="s">
        <v>197</v>
      </c>
      <c r="R36" s="8" t="s">
        <v>198</v>
      </c>
    </row>
    <row r="37" customFormat="false" ht="13.8" hidden="false" customHeight="false" outlineLevel="0" collapsed="false">
      <c r="A37" s="0" t="n">
        <v>36</v>
      </c>
      <c r="B37" s="8" t="s">
        <v>194</v>
      </c>
      <c r="C37" s="8" t="s">
        <v>43</v>
      </c>
      <c r="D37" s="8" t="s">
        <v>44</v>
      </c>
      <c r="E37" s="8" t="s">
        <v>31</v>
      </c>
      <c r="F37" s="8" t="s">
        <v>178</v>
      </c>
      <c r="I37" s="0" t="n">
        <v>100</v>
      </c>
      <c r="J37" s="0" t="n">
        <v>100</v>
      </c>
      <c r="K37" s="0" t="n">
        <v>88.9</v>
      </c>
      <c r="L37" s="0" t="n">
        <v>66.7</v>
      </c>
      <c r="M37" s="0" t="n">
        <v>100</v>
      </c>
      <c r="N37" s="0" t="n">
        <v>0</v>
      </c>
      <c r="O37" s="8" t="s">
        <v>199</v>
      </c>
      <c r="R37" s="8" t="s">
        <v>200</v>
      </c>
    </row>
    <row r="38" customFormat="false" ht="17.15" hidden="false" customHeight="false" outlineLevel="0" collapsed="false">
      <c r="A38" s="0" t="n">
        <v>37</v>
      </c>
      <c r="B38" s="8" t="s">
        <v>194</v>
      </c>
      <c r="C38" s="8" t="s">
        <v>49</v>
      </c>
      <c r="D38" s="8" t="s">
        <v>50</v>
      </c>
      <c r="E38" s="8" t="s">
        <v>56</v>
      </c>
      <c r="F38" s="8" t="s">
        <v>165</v>
      </c>
      <c r="I38" s="0" t="n">
        <v>80</v>
      </c>
      <c r="J38" s="0" t="n">
        <v>100</v>
      </c>
      <c r="K38" s="0" t="n">
        <v>37.5</v>
      </c>
      <c r="L38" s="0" t="n">
        <v>62.5</v>
      </c>
      <c r="M38" s="0" t="n">
        <v>80</v>
      </c>
      <c r="N38" s="0" t="n">
        <v>0</v>
      </c>
      <c r="O38" s="8" t="s">
        <v>201</v>
      </c>
      <c r="R38" s="8" t="s">
        <v>202</v>
      </c>
      <c r="S38" s="0" t="s">
        <v>203</v>
      </c>
    </row>
    <row r="39" customFormat="false" ht="13.8" hidden="false" customHeight="false" outlineLevel="0" collapsed="false">
      <c r="A39" s="0" t="n">
        <v>38</v>
      </c>
      <c r="B39" s="8" t="s">
        <v>194</v>
      </c>
      <c r="C39" s="8" t="s">
        <v>54</v>
      </c>
      <c r="D39" s="8" t="s">
        <v>55</v>
      </c>
      <c r="E39" s="8" t="s">
        <v>31</v>
      </c>
      <c r="F39" s="8" t="s">
        <v>117</v>
      </c>
      <c r="I39" s="0" t="n">
        <v>100</v>
      </c>
      <c r="J39" s="0" t="n">
        <v>100</v>
      </c>
      <c r="K39" s="0" t="n">
        <v>68.7</v>
      </c>
      <c r="L39" s="0" t="n">
        <v>100</v>
      </c>
      <c r="M39" s="0" t="n">
        <v>80</v>
      </c>
      <c r="N39" s="0" t="n">
        <v>100</v>
      </c>
      <c r="O39" s="8" t="s">
        <v>204</v>
      </c>
      <c r="R39" s="8" t="s">
        <v>205</v>
      </c>
    </row>
    <row r="40" customFormat="false" ht="13.8" hidden="false" customHeight="false" outlineLevel="0" collapsed="false">
      <c r="A40" s="0" t="n">
        <v>39</v>
      </c>
      <c r="B40" s="8" t="s">
        <v>194</v>
      </c>
      <c r="C40" s="8" t="s">
        <v>62</v>
      </c>
      <c r="D40" s="8" t="s">
        <v>63</v>
      </c>
      <c r="E40" s="8" t="s">
        <v>31</v>
      </c>
      <c r="F40" s="8" t="s">
        <v>145</v>
      </c>
      <c r="I40" s="0" t="n">
        <v>100</v>
      </c>
      <c r="J40" s="0" t="n">
        <v>100</v>
      </c>
      <c r="K40" s="0" t="n">
        <v>93.3</v>
      </c>
      <c r="L40" s="0" t="n">
        <v>75</v>
      </c>
      <c r="M40" s="0" t="n">
        <v>0</v>
      </c>
      <c r="N40" s="0" t="n">
        <v>0</v>
      </c>
      <c r="O40" s="8" t="s">
        <v>206</v>
      </c>
      <c r="R40" s="8" t="s">
        <v>207</v>
      </c>
    </row>
    <row r="41" customFormat="false" ht="13.8" hidden="false" customHeight="false" outlineLevel="0" collapsed="false">
      <c r="A41" s="0" t="n">
        <v>40</v>
      </c>
      <c r="B41" s="8" t="s">
        <v>194</v>
      </c>
      <c r="C41" s="8" t="s">
        <v>67</v>
      </c>
      <c r="D41" s="8" t="s">
        <v>68</v>
      </c>
      <c r="E41" s="8" t="s">
        <v>31</v>
      </c>
      <c r="F41" s="8" t="s">
        <v>59</v>
      </c>
      <c r="I41" s="0" t="n">
        <v>100</v>
      </c>
      <c r="J41" s="0" t="n">
        <v>100</v>
      </c>
      <c r="K41" s="0" t="n">
        <v>100</v>
      </c>
      <c r="L41" s="0" t="n">
        <v>75</v>
      </c>
      <c r="M41" s="0" t="n">
        <v>0</v>
      </c>
      <c r="N41" s="0" t="n">
        <v>0</v>
      </c>
      <c r="O41" s="8" t="s">
        <v>208</v>
      </c>
      <c r="R41" s="8" t="s">
        <v>209</v>
      </c>
    </row>
    <row r="42" customFormat="false" ht="17.15" hidden="false" customHeight="false" outlineLevel="0" collapsed="false">
      <c r="A42" s="7" t="n">
        <v>41</v>
      </c>
      <c r="B42" s="5" t="s">
        <v>194</v>
      </c>
      <c r="C42" s="5" t="s">
        <v>72</v>
      </c>
      <c r="D42" s="5" t="s">
        <v>73</v>
      </c>
      <c r="E42" s="6" t="s">
        <v>56</v>
      </c>
      <c r="F42" s="7" t="s">
        <v>32</v>
      </c>
      <c r="G42" s="7" t="s">
        <v>210</v>
      </c>
      <c r="H42" s="7"/>
      <c r="I42" s="7"/>
      <c r="J42" s="7" t="n">
        <v>33.3</v>
      </c>
      <c r="K42" s="7" t="n">
        <v>36.4</v>
      </c>
      <c r="L42" s="7" t="n">
        <v>66.7</v>
      </c>
      <c r="M42" s="7" t="n">
        <v>100</v>
      </c>
      <c r="N42" s="7" t="n">
        <v>80</v>
      </c>
      <c r="O42" s="5" t="s">
        <v>199</v>
      </c>
      <c r="P42" s="5" t="s">
        <v>178</v>
      </c>
      <c r="Q42" s="7" t="n">
        <v>316.4</v>
      </c>
      <c r="R42" s="5" t="s">
        <v>211</v>
      </c>
      <c r="S42" s="7" t="s">
        <v>212</v>
      </c>
    </row>
    <row r="43" customFormat="false" ht="15" hidden="false" customHeight="false" outlineLevel="0" collapsed="false">
      <c r="A43" s="0" t="n">
        <v>42</v>
      </c>
      <c r="B43" s="8" t="s">
        <v>194</v>
      </c>
      <c r="C43" s="8" t="s">
        <v>79</v>
      </c>
      <c r="D43" s="8" t="s">
        <v>30</v>
      </c>
      <c r="E43" s="8" t="s">
        <v>31</v>
      </c>
      <c r="F43" s="8" t="s">
        <v>76</v>
      </c>
      <c r="I43" s="0" t="n">
        <v>80</v>
      </c>
      <c r="J43" s="0" t="n">
        <v>40</v>
      </c>
      <c r="K43" s="0" t="n">
        <v>61.5</v>
      </c>
      <c r="L43" s="0" t="n">
        <v>100</v>
      </c>
      <c r="M43" s="0" t="n">
        <v>0</v>
      </c>
      <c r="N43" s="0" t="n">
        <v>80</v>
      </c>
      <c r="O43" s="8" t="s">
        <v>213</v>
      </c>
      <c r="R43" s="8" t="s">
        <v>214</v>
      </c>
    </row>
    <row r="44" customFormat="false" ht="17.15" hidden="false" customHeight="false" outlineLevel="0" collapsed="false">
      <c r="A44" s="0" t="n">
        <v>43</v>
      </c>
      <c r="B44" s="8" t="s">
        <v>194</v>
      </c>
      <c r="C44" s="8" t="s">
        <v>85</v>
      </c>
      <c r="D44" s="8" t="s">
        <v>86</v>
      </c>
      <c r="E44" s="8" t="s">
        <v>31</v>
      </c>
      <c r="F44" s="8" t="s">
        <v>130</v>
      </c>
      <c r="I44" s="0" t="n">
        <v>80</v>
      </c>
      <c r="J44" s="0" t="n">
        <v>90</v>
      </c>
      <c r="K44" s="0" t="n">
        <v>61.5</v>
      </c>
      <c r="L44" s="0" t="n">
        <v>100</v>
      </c>
      <c r="M44" s="0" t="n">
        <v>80</v>
      </c>
      <c r="N44" s="0" t="n">
        <v>80</v>
      </c>
      <c r="O44" s="8" t="s">
        <v>215</v>
      </c>
      <c r="R44" s="8" t="s">
        <v>216</v>
      </c>
    </row>
    <row r="45" customFormat="false" ht="17.15" hidden="false" customHeight="false" outlineLevel="0" collapsed="false">
      <c r="A45" s="7" t="n">
        <v>44</v>
      </c>
      <c r="B45" s="5" t="s">
        <v>194</v>
      </c>
      <c r="C45" s="5" t="s">
        <v>88</v>
      </c>
      <c r="D45" s="5" t="s">
        <v>89</v>
      </c>
      <c r="E45" s="6" t="s">
        <v>31</v>
      </c>
      <c r="F45" s="7" t="s">
        <v>32</v>
      </c>
      <c r="G45" s="7" t="s">
        <v>217</v>
      </c>
      <c r="H45" s="7"/>
      <c r="I45" s="7"/>
      <c r="J45" s="7" t="n">
        <v>86.7</v>
      </c>
      <c r="K45" s="7" t="n">
        <v>33.3</v>
      </c>
      <c r="L45" s="7" t="n">
        <v>87.5</v>
      </c>
      <c r="M45" s="7" t="n">
        <v>0</v>
      </c>
      <c r="N45" s="7" t="n">
        <v>100</v>
      </c>
      <c r="O45" s="5" t="s">
        <v>218</v>
      </c>
      <c r="P45" s="5" t="s">
        <v>82</v>
      </c>
      <c r="Q45" s="7" t="n">
        <v>307.5</v>
      </c>
      <c r="R45" s="5" t="s">
        <v>219</v>
      </c>
      <c r="S45" s="7"/>
    </row>
    <row r="46" customFormat="false" ht="17.15" hidden="false" customHeight="false" outlineLevel="0" collapsed="false">
      <c r="A46" s="7" t="n">
        <v>45</v>
      </c>
      <c r="B46" s="5" t="s">
        <v>194</v>
      </c>
      <c r="C46" s="5" t="s">
        <v>91</v>
      </c>
      <c r="D46" s="5" t="s">
        <v>92</v>
      </c>
      <c r="E46" s="6" t="s">
        <v>31</v>
      </c>
      <c r="F46" s="7" t="s">
        <v>32</v>
      </c>
      <c r="G46" s="7" t="s">
        <v>220</v>
      </c>
      <c r="H46" s="7" t="n">
        <v>312.1</v>
      </c>
      <c r="I46" s="7"/>
      <c r="J46" s="7" t="n">
        <v>45.5</v>
      </c>
      <c r="K46" s="7" t="n">
        <v>26.7</v>
      </c>
      <c r="L46" s="7" t="n">
        <v>80</v>
      </c>
      <c r="M46" s="7" t="n">
        <v>80</v>
      </c>
      <c r="N46" s="7" t="n">
        <v>80</v>
      </c>
      <c r="O46" s="5" t="s">
        <v>221</v>
      </c>
      <c r="P46" s="5" t="s">
        <v>126</v>
      </c>
      <c r="Q46" s="7" t="n">
        <v>312.1</v>
      </c>
      <c r="R46" s="5" t="s">
        <v>222</v>
      </c>
      <c r="S46" s="7"/>
    </row>
    <row r="47" customFormat="false" ht="13.8" hidden="false" customHeight="false" outlineLevel="0" collapsed="false">
      <c r="A47" s="0" t="n">
        <v>46</v>
      </c>
      <c r="B47" s="8" t="s">
        <v>194</v>
      </c>
      <c r="C47" s="8" t="s">
        <v>98</v>
      </c>
      <c r="D47" s="8" t="s">
        <v>99</v>
      </c>
      <c r="E47" s="8" t="s">
        <v>31</v>
      </c>
      <c r="F47" s="8" t="s">
        <v>95</v>
      </c>
      <c r="I47" s="0" t="n">
        <v>80</v>
      </c>
      <c r="J47" s="0" t="n">
        <v>92.3</v>
      </c>
      <c r="K47" s="0" t="n">
        <v>100</v>
      </c>
      <c r="L47" s="0" t="n">
        <v>75</v>
      </c>
      <c r="M47" s="0" t="n">
        <v>80</v>
      </c>
      <c r="N47" s="0" t="n">
        <v>0</v>
      </c>
      <c r="O47" s="8" t="s">
        <v>223</v>
      </c>
      <c r="R47" s="8" t="s">
        <v>224</v>
      </c>
    </row>
    <row r="48" customFormat="false" ht="13.8" hidden="false" customHeight="false" outlineLevel="0" collapsed="false">
      <c r="A48" s="0" t="n">
        <v>47</v>
      </c>
      <c r="B48" s="8" t="s">
        <v>194</v>
      </c>
      <c r="C48" s="8" t="s">
        <v>103</v>
      </c>
      <c r="D48" s="8" t="s">
        <v>104</v>
      </c>
      <c r="E48" s="8" t="s">
        <v>31</v>
      </c>
      <c r="F48" s="8" t="s">
        <v>174</v>
      </c>
      <c r="I48" s="0" t="n">
        <v>100</v>
      </c>
      <c r="J48" s="0" t="n">
        <v>46.7</v>
      </c>
      <c r="K48" s="0" t="n">
        <v>88.9</v>
      </c>
      <c r="L48" s="0" t="n">
        <v>0</v>
      </c>
      <c r="M48" s="0" t="n">
        <v>80</v>
      </c>
      <c r="N48" s="0" t="n">
        <v>100</v>
      </c>
      <c r="O48" s="8" t="s">
        <v>106</v>
      </c>
      <c r="R48" s="8" t="s">
        <v>225</v>
      </c>
    </row>
    <row r="49" customFormat="false" ht="13.8" hidden="false" customHeight="false" outlineLevel="0" collapsed="false">
      <c r="A49" s="0" t="n">
        <v>48</v>
      </c>
      <c r="B49" s="8" t="s">
        <v>194</v>
      </c>
      <c r="C49" s="8" t="s">
        <v>108</v>
      </c>
      <c r="D49" s="8" t="s">
        <v>109</v>
      </c>
      <c r="E49" s="8" t="s">
        <v>56</v>
      </c>
      <c r="F49" s="8" t="s">
        <v>149</v>
      </c>
      <c r="I49" s="0" t="n">
        <v>100</v>
      </c>
      <c r="J49" s="0" t="n">
        <v>47.6</v>
      </c>
      <c r="K49" s="0" t="n">
        <v>100</v>
      </c>
      <c r="L49" s="0" t="n">
        <v>0</v>
      </c>
      <c r="M49" s="0" t="n">
        <v>0</v>
      </c>
      <c r="N49" s="0" t="n">
        <v>0</v>
      </c>
      <c r="O49" s="8" t="s">
        <v>226</v>
      </c>
      <c r="R49" s="8" t="s">
        <v>227</v>
      </c>
      <c r="S49" s="0" t="s">
        <v>228</v>
      </c>
    </row>
    <row r="50" customFormat="false" ht="17.15" hidden="false" customHeight="false" outlineLevel="0" collapsed="false">
      <c r="A50" s="7" t="n">
        <v>49</v>
      </c>
      <c r="B50" s="5" t="s">
        <v>194</v>
      </c>
      <c r="C50" s="5" t="s">
        <v>113</v>
      </c>
      <c r="D50" s="5" t="s">
        <v>50</v>
      </c>
      <c r="E50" s="6" t="s">
        <v>31</v>
      </c>
      <c r="F50" s="7" t="s">
        <v>32</v>
      </c>
      <c r="G50" s="7" t="s">
        <v>229</v>
      </c>
      <c r="H50" s="7" t="n">
        <v>293.3</v>
      </c>
      <c r="I50" s="7"/>
      <c r="J50" s="7" t="n">
        <v>50</v>
      </c>
      <c r="K50" s="7" t="n">
        <v>33.3</v>
      </c>
      <c r="L50" s="7" t="n">
        <v>50</v>
      </c>
      <c r="M50" s="7" t="n">
        <v>80</v>
      </c>
      <c r="N50" s="7" t="n">
        <v>80</v>
      </c>
      <c r="O50" s="5" t="s">
        <v>230</v>
      </c>
      <c r="P50" s="5" t="s">
        <v>41</v>
      </c>
      <c r="Q50" s="7" t="n">
        <v>293.3</v>
      </c>
      <c r="R50" s="5" t="s">
        <v>231</v>
      </c>
      <c r="S50" s="7"/>
    </row>
    <row r="51" customFormat="false" ht="17.15" hidden="false" customHeight="false" outlineLevel="0" collapsed="false">
      <c r="A51" s="7" t="n">
        <v>50</v>
      </c>
      <c r="B51" s="5" t="s">
        <v>194</v>
      </c>
      <c r="C51" s="5" t="s">
        <v>115</v>
      </c>
      <c r="D51" s="5" t="s">
        <v>116</v>
      </c>
      <c r="E51" s="6" t="s">
        <v>31</v>
      </c>
      <c r="F51" s="7" t="s">
        <v>32</v>
      </c>
      <c r="G51" s="7" t="s">
        <v>232</v>
      </c>
      <c r="H51" s="7"/>
      <c r="I51" s="7"/>
      <c r="J51" s="7" t="n">
        <v>33.3</v>
      </c>
      <c r="K51" s="7" t="n">
        <v>44.4</v>
      </c>
      <c r="L51" s="7" t="n">
        <v>85.7</v>
      </c>
      <c r="M51" s="7" t="n">
        <v>80</v>
      </c>
      <c r="N51" s="7" t="n">
        <v>0</v>
      </c>
      <c r="O51" s="5" t="s">
        <v>233</v>
      </c>
      <c r="P51" s="5" t="s">
        <v>105</v>
      </c>
      <c r="Q51" s="7" t="n">
        <v>243.5</v>
      </c>
      <c r="R51" s="5" t="s">
        <v>234</v>
      </c>
      <c r="S51" s="7"/>
    </row>
    <row r="52" customFormat="false" ht="15" hidden="false" customHeight="false" outlineLevel="0" collapsed="false">
      <c r="A52" s="0" t="n">
        <v>51</v>
      </c>
      <c r="B52" s="8" t="s">
        <v>194</v>
      </c>
      <c r="C52" s="8" t="s">
        <v>120</v>
      </c>
      <c r="D52" s="8" t="s">
        <v>109</v>
      </c>
      <c r="E52" s="8" t="s">
        <v>31</v>
      </c>
      <c r="F52" s="8" t="s">
        <v>110</v>
      </c>
      <c r="I52" s="0" t="n">
        <v>100</v>
      </c>
      <c r="J52" s="0" t="n">
        <v>53.8</v>
      </c>
      <c r="K52" s="0" t="n">
        <v>100</v>
      </c>
      <c r="L52" s="0" t="n">
        <v>57.1</v>
      </c>
      <c r="M52" s="0" t="n">
        <v>100</v>
      </c>
      <c r="N52" s="0" t="n">
        <v>100</v>
      </c>
      <c r="O52" s="8" t="s">
        <v>235</v>
      </c>
      <c r="R52" s="8" t="s">
        <v>236</v>
      </c>
    </row>
    <row r="53" customFormat="false" ht="17.15" hidden="false" customHeight="false" outlineLevel="0" collapsed="false">
      <c r="A53" s="0" t="n">
        <v>52</v>
      </c>
      <c r="B53" s="8" t="s">
        <v>194</v>
      </c>
      <c r="C53" s="8" t="s">
        <v>124</v>
      </c>
      <c r="D53" s="8" t="s">
        <v>125</v>
      </c>
      <c r="E53" s="8" t="s">
        <v>31</v>
      </c>
      <c r="F53" s="8" t="s">
        <v>105</v>
      </c>
      <c r="I53" s="0" t="n">
        <v>80</v>
      </c>
      <c r="J53" s="0" t="n">
        <v>85.7</v>
      </c>
      <c r="K53" s="0" t="n">
        <v>93.3</v>
      </c>
      <c r="L53" s="0" t="n">
        <v>100</v>
      </c>
      <c r="M53" s="0" t="n">
        <v>80</v>
      </c>
      <c r="N53" s="0" t="n">
        <v>0</v>
      </c>
      <c r="O53" s="8" t="s">
        <v>233</v>
      </c>
      <c r="R53" s="8" t="s">
        <v>237</v>
      </c>
    </row>
    <row r="54" customFormat="false" ht="13.8" hidden="false" customHeight="false" outlineLevel="0" collapsed="false">
      <c r="A54" s="0" t="n">
        <v>53</v>
      </c>
      <c r="B54" s="8" t="s">
        <v>194</v>
      </c>
      <c r="C54" s="8" t="s">
        <v>129</v>
      </c>
      <c r="D54" s="8" t="s">
        <v>89</v>
      </c>
      <c r="E54" s="8" t="s">
        <v>31</v>
      </c>
      <c r="F54" s="8" t="s">
        <v>82</v>
      </c>
      <c r="I54" s="0" t="n">
        <v>100</v>
      </c>
      <c r="J54" s="0" t="n">
        <v>93.3</v>
      </c>
      <c r="K54" s="0" t="n">
        <v>33.3</v>
      </c>
      <c r="L54" s="0" t="n">
        <v>100</v>
      </c>
      <c r="M54" s="0" t="n">
        <v>0</v>
      </c>
      <c r="N54" s="0" t="n">
        <v>100</v>
      </c>
      <c r="O54" s="8" t="s">
        <v>218</v>
      </c>
      <c r="R54" s="8" t="s">
        <v>238</v>
      </c>
    </row>
    <row r="55" customFormat="false" ht="13.8" hidden="false" customHeight="false" outlineLevel="0" collapsed="false">
      <c r="A55" s="0" t="n">
        <v>54</v>
      </c>
      <c r="B55" s="8" t="s">
        <v>194</v>
      </c>
      <c r="C55" s="8" t="s">
        <v>133</v>
      </c>
      <c r="D55" s="8" t="s">
        <v>134</v>
      </c>
      <c r="E55" s="8" t="s">
        <v>31</v>
      </c>
      <c r="F55" s="8" t="s">
        <v>51</v>
      </c>
      <c r="I55" s="0" t="n">
        <v>100</v>
      </c>
      <c r="J55" s="0" t="n">
        <v>71.4</v>
      </c>
      <c r="K55" s="0" t="n">
        <v>93.8</v>
      </c>
      <c r="L55" s="0" t="n">
        <v>80</v>
      </c>
      <c r="M55" s="0" t="n">
        <v>100</v>
      </c>
      <c r="N55" s="0" t="n">
        <v>100</v>
      </c>
      <c r="O55" s="8" t="s">
        <v>239</v>
      </c>
      <c r="R55" s="8" t="s">
        <v>240</v>
      </c>
    </row>
    <row r="56" customFormat="false" ht="17.15" hidden="false" customHeight="false" outlineLevel="0" collapsed="false">
      <c r="A56" s="7" t="n">
        <v>55</v>
      </c>
      <c r="B56" s="5" t="s">
        <v>194</v>
      </c>
      <c r="C56" s="5" t="s">
        <v>138</v>
      </c>
      <c r="D56" s="5" t="s">
        <v>139</v>
      </c>
      <c r="E56" s="6" t="s">
        <v>56</v>
      </c>
      <c r="F56" s="7" t="s">
        <v>32</v>
      </c>
      <c r="G56" s="7" t="s">
        <v>241</v>
      </c>
      <c r="H56" s="7"/>
      <c r="I56" s="7"/>
      <c r="J56" s="7" t="n">
        <v>100</v>
      </c>
      <c r="K56" s="7" t="n">
        <v>100</v>
      </c>
      <c r="L56" s="7" t="n">
        <v>75</v>
      </c>
      <c r="M56" s="7" t="n">
        <v>0</v>
      </c>
      <c r="N56" s="7" t="n">
        <v>0</v>
      </c>
      <c r="O56" s="5" t="s">
        <v>201</v>
      </c>
      <c r="P56" s="5" t="s">
        <v>165</v>
      </c>
      <c r="Q56" s="7" t="n">
        <v>275</v>
      </c>
      <c r="R56" s="5" t="s">
        <v>242</v>
      </c>
      <c r="S56" s="7" t="s">
        <v>243</v>
      </c>
    </row>
    <row r="57" customFormat="false" ht="17.15" hidden="false" customHeight="false" outlineLevel="0" collapsed="false">
      <c r="A57" s="0" t="n">
        <v>56</v>
      </c>
      <c r="B57" s="8" t="s">
        <v>194</v>
      </c>
      <c r="C57" s="8" t="s">
        <v>143</v>
      </c>
      <c r="D57" s="8" t="s">
        <v>144</v>
      </c>
      <c r="E57" s="8" t="s">
        <v>31</v>
      </c>
      <c r="F57" s="8" t="s">
        <v>100</v>
      </c>
      <c r="I57" s="0" t="n">
        <v>100</v>
      </c>
      <c r="J57" s="0" t="n">
        <v>100</v>
      </c>
      <c r="K57" s="0" t="n">
        <v>11.8</v>
      </c>
      <c r="L57" s="0" t="n">
        <v>53.3</v>
      </c>
      <c r="M57" s="0" t="n">
        <v>100</v>
      </c>
      <c r="N57" s="0" t="n">
        <v>100</v>
      </c>
      <c r="O57" s="8" t="s">
        <v>244</v>
      </c>
      <c r="R57" s="8" t="s">
        <v>245</v>
      </c>
    </row>
    <row r="58" customFormat="false" ht="15" hidden="false" customHeight="false" outlineLevel="0" collapsed="false">
      <c r="A58" s="0" t="n">
        <v>57</v>
      </c>
      <c r="B58" s="8" t="s">
        <v>194</v>
      </c>
      <c r="C58" s="8" t="s">
        <v>148</v>
      </c>
      <c r="D58" s="8" t="s">
        <v>73</v>
      </c>
      <c r="E58" s="8" t="s">
        <v>31</v>
      </c>
      <c r="F58" s="8" t="s">
        <v>161</v>
      </c>
      <c r="I58" s="0" t="n">
        <v>80</v>
      </c>
      <c r="J58" s="0" t="n">
        <v>93.3</v>
      </c>
      <c r="K58" s="0" t="n">
        <v>50</v>
      </c>
      <c r="L58" s="0" t="n">
        <v>100</v>
      </c>
      <c r="M58" s="0" t="n">
        <v>80</v>
      </c>
      <c r="N58" s="0" t="n">
        <v>80</v>
      </c>
      <c r="O58" s="8" t="s">
        <v>246</v>
      </c>
      <c r="R58" s="8" t="s">
        <v>247</v>
      </c>
    </row>
    <row r="59" customFormat="false" ht="17.15" hidden="false" customHeight="false" outlineLevel="0" collapsed="false">
      <c r="A59" s="0" t="n">
        <v>58</v>
      </c>
      <c r="B59" s="8" t="s">
        <v>194</v>
      </c>
      <c r="C59" s="8" t="s">
        <v>152</v>
      </c>
      <c r="D59" s="8" t="s">
        <v>153</v>
      </c>
      <c r="E59" s="8" t="s">
        <v>31</v>
      </c>
      <c r="F59" s="8" t="s">
        <v>69</v>
      </c>
      <c r="I59" s="0" t="n">
        <v>87.5</v>
      </c>
      <c r="J59" s="0" t="n">
        <v>90.9</v>
      </c>
      <c r="K59" s="0" t="n">
        <v>87.5</v>
      </c>
      <c r="L59" s="0" t="n">
        <v>87.5</v>
      </c>
      <c r="M59" s="0" t="n">
        <v>0</v>
      </c>
      <c r="N59" s="0" t="n">
        <v>0</v>
      </c>
      <c r="O59" s="0" t="s">
        <v>248</v>
      </c>
      <c r="R59" s="8" t="s">
        <v>249</v>
      </c>
    </row>
    <row r="60" customFormat="false" ht="13.8" hidden="false" customHeight="false" outlineLevel="0" collapsed="false">
      <c r="A60" s="0" t="n">
        <v>59</v>
      </c>
      <c r="B60" s="8" t="s">
        <v>194</v>
      </c>
      <c r="C60" s="8" t="s">
        <v>159</v>
      </c>
      <c r="D60" s="8" t="s">
        <v>160</v>
      </c>
      <c r="E60" s="8" t="s">
        <v>31</v>
      </c>
      <c r="F60" s="8" t="s">
        <v>185</v>
      </c>
      <c r="I60" s="0" t="n">
        <v>100</v>
      </c>
      <c r="J60" s="0" t="n">
        <v>85.7</v>
      </c>
      <c r="K60" s="0" t="n">
        <v>93.3</v>
      </c>
      <c r="L60" s="0" t="n">
        <v>100</v>
      </c>
      <c r="M60" s="0" t="n">
        <v>100</v>
      </c>
      <c r="N60" s="0" t="n">
        <v>0</v>
      </c>
      <c r="O60" s="8" t="s">
        <v>250</v>
      </c>
      <c r="R60" s="8" t="s">
        <v>251</v>
      </c>
    </row>
    <row r="61" customFormat="false" ht="13.8" hidden="false" customHeight="false" outlineLevel="0" collapsed="false">
      <c r="A61" s="0" t="n">
        <v>60</v>
      </c>
      <c r="B61" s="8" t="s">
        <v>194</v>
      </c>
      <c r="C61" s="8" t="s">
        <v>164</v>
      </c>
      <c r="D61" s="8" t="s">
        <v>30</v>
      </c>
      <c r="E61" s="8" t="s">
        <v>31</v>
      </c>
      <c r="F61" s="8" t="s">
        <v>47</v>
      </c>
      <c r="I61" s="0" t="n">
        <v>80</v>
      </c>
      <c r="J61" s="0" t="n">
        <v>42.1</v>
      </c>
      <c r="K61" s="0" t="n">
        <v>61.5</v>
      </c>
      <c r="L61" s="0" t="n">
        <v>100</v>
      </c>
      <c r="M61" s="0" t="n">
        <v>0</v>
      </c>
      <c r="N61" s="0" t="n">
        <v>80</v>
      </c>
      <c r="O61" s="8" t="s">
        <v>252</v>
      </c>
      <c r="R61" s="8" t="s">
        <v>253</v>
      </c>
    </row>
    <row r="62" customFormat="false" ht="17.15" hidden="false" customHeight="false" outlineLevel="0" collapsed="false">
      <c r="A62" s="7" t="n">
        <v>61</v>
      </c>
      <c r="B62" s="5" t="s">
        <v>194</v>
      </c>
      <c r="C62" s="5" t="s">
        <v>168</v>
      </c>
      <c r="D62" s="5" t="s">
        <v>109</v>
      </c>
      <c r="E62" s="6" t="s">
        <v>56</v>
      </c>
      <c r="F62" s="7" t="s">
        <v>32</v>
      </c>
      <c r="G62" s="7" t="s">
        <v>254</v>
      </c>
      <c r="H62" s="7"/>
      <c r="I62" s="7"/>
      <c r="J62" s="7" t="n">
        <v>45.5</v>
      </c>
      <c r="K62" s="7" t="n">
        <v>33.3</v>
      </c>
      <c r="L62" s="7" t="n">
        <v>37.5</v>
      </c>
      <c r="M62" s="7" t="n">
        <v>80</v>
      </c>
      <c r="N62" s="7" t="n">
        <v>80</v>
      </c>
      <c r="O62" s="5" t="s">
        <v>246</v>
      </c>
      <c r="P62" s="5" t="s">
        <v>161</v>
      </c>
      <c r="Q62" s="7" t="n">
        <v>276.3</v>
      </c>
      <c r="R62" s="5" t="s">
        <v>255</v>
      </c>
      <c r="S62" s="7"/>
    </row>
    <row r="63" customFormat="false" ht="13.8" hidden="false" customHeight="false" outlineLevel="0" collapsed="false">
      <c r="A63" s="0" t="n">
        <v>62</v>
      </c>
      <c r="B63" s="8" t="s">
        <v>194</v>
      </c>
      <c r="C63" s="8" t="s">
        <v>172</v>
      </c>
      <c r="D63" s="8" t="s">
        <v>173</v>
      </c>
      <c r="E63" s="8" t="s">
        <v>31</v>
      </c>
      <c r="F63" s="8" t="s">
        <v>64</v>
      </c>
      <c r="I63" s="0" t="n">
        <v>80</v>
      </c>
      <c r="J63" s="0" t="n">
        <v>80</v>
      </c>
      <c r="K63" s="0" t="n">
        <v>85.7</v>
      </c>
      <c r="L63" s="0" t="n">
        <v>100</v>
      </c>
      <c r="M63" s="0" t="n">
        <v>80</v>
      </c>
      <c r="N63" s="0" t="n">
        <v>80</v>
      </c>
      <c r="O63" s="8" t="s">
        <v>256</v>
      </c>
      <c r="R63" s="8" t="s">
        <v>257</v>
      </c>
    </row>
    <row r="64" customFormat="false" ht="13.8" hidden="false" customHeight="false" outlineLevel="0" collapsed="false">
      <c r="A64" s="0" t="n">
        <v>63</v>
      </c>
      <c r="B64" s="8" t="s">
        <v>194</v>
      </c>
      <c r="C64" s="8" t="s">
        <v>177</v>
      </c>
      <c r="D64" s="8" t="s">
        <v>86</v>
      </c>
      <c r="E64" s="8" t="s">
        <v>56</v>
      </c>
      <c r="F64" s="8" t="s">
        <v>135</v>
      </c>
      <c r="I64" s="0" t="n">
        <v>80</v>
      </c>
      <c r="J64" s="0" t="n">
        <v>70.6</v>
      </c>
      <c r="K64" s="0" t="n">
        <v>37.5</v>
      </c>
      <c r="L64" s="0" t="n">
        <v>75</v>
      </c>
      <c r="M64" s="0" t="n">
        <v>80</v>
      </c>
      <c r="N64" s="0" t="n">
        <v>80</v>
      </c>
      <c r="O64" s="8" t="s">
        <v>258</v>
      </c>
      <c r="R64" s="8" t="s">
        <v>259</v>
      </c>
    </row>
    <row r="65" customFormat="false" ht="13.8" hidden="false" customHeight="false" outlineLevel="0" collapsed="false">
      <c r="A65" s="0" t="n">
        <v>64</v>
      </c>
      <c r="B65" s="8" t="s">
        <v>194</v>
      </c>
      <c r="C65" s="8" t="s">
        <v>181</v>
      </c>
      <c r="D65" s="8" t="s">
        <v>182</v>
      </c>
      <c r="E65" s="8" t="s">
        <v>31</v>
      </c>
      <c r="F65" s="8" t="s">
        <v>156</v>
      </c>
      <c r="I65" s="0" t="n">
        <v>80</v>
      </c>
      <c r="J65" s="0" t="n">
        <v>100</v>
      </c>
      <c r="K65" s="0" t="n">
        <v>88.9</v>
      </c>
      <c r="L65" s="0" t="n">
        <v>62.5</v>
      </c>
      <c r="M65" s="0" t="n">
        <v>80</v>
      </c>
      <c r="N65" s="0" t="n">
        <v>0</v>
      </c>
      <c r="O65" s="8" t="s">
        <v>260</v>
      </c>
      <c r="R65" s="8" t="s">
        <v>261</v>
      </c>
    </row>
    <row r="66" customFormat="false" ht="13.8" hidden="false" customHeight="false" outlineLevel="0" collapsed="false">
      <c r="A66" s="0" t="n">
        <v>65</v>
      </c>
      <c r="B66" s="8" t="s">
        <v>194</v>
      </c>
      <c r="C66" s="8" t="s">
        <v>187</v>
      </c>
      <c r="D66" s="8" t="s">
        <v>188</v>
      </c>
      <c r="E66" s="8" t="s">
        <v>31</v>
      </c>
      <c r="F66" s="8" t="s">
        <v>35</v>
      </c>
      <c r="I66" s="0" t="n">
        <v>100</v>
      </c>
      <c r="J66" s="0" t="n">
        <v>40</v>
      </c>
      <c r="K66" s="0" t="n">
        <v>100</v>
      </c>
      <c r="L66" s="0" t="n">
        <v>0</v>
      </c>
      <c r="M66" s="0" t="n">
        <v>80</v>
      </c>
      <c r="N66" s="0" t="n">
        <v>100</v>
      </c>
      <c r="O66" s="8" t="s">
        <v>262</v>
      </c>
      <c r="R66" s="8" t="s">
        <v>263</v>
      </c>
    </row>
    <row r="67" customFormat="false" ht="17.15" hidden="false" customHeight="false" outlineLevel="0" collapsed="false">
      <c r="A67" s="7" t="n">
        <v>66</v>
      </c>
      <c r="B67" s="5" t="s">
        <v>194</v>
      </c>
      <c r="C67" s="5" t="s">
        <v>191</v>
      </c>
      <c r="D67" s="5" t="s">
        <v>73</v>
      </c>
      <c r="E67" s="6" t="s">
        <v>56</v>
      </c>
      <c r="F67" s="7" t="s">
        <v>32</v>
      </c>
      <c r="G67" s="7" t="s">
        <v>264</v>
      </c>
      <c r="H67" s="7"/>
      <c r="I67" s="7"/>
      <c r="J67" s="7" t="n">
        <v>30.8</v>
      </c>
      <c r="K67" s="7" t="n">
        <v>18.2</v>
      </c>
      <c r="L67" s="7" t="n">
        <v>75</v>
      </c>
      <c r="M67" s="7" t="n">
        <v>80</v>
      </c>
      <c r="N67" s="7" t="n">
        <v>80</v>
      </c>
      <c r="O67" s="5" t="s">
        <v>215</v>
      </c>
      <c r="P67" s="5" t="s">
        <v>130</v>
      </c>
      <c r="Q67" s="7" t="n">
        <v>284</v>
      </c>
      <c r="R67" s="5" t="s">
        <v>265</v>
      </c>
      <c r="S67" s="7" t="s">
        <v>266</v>
      </c>
    </row>
    <row r="68" customFormat="false" ht="13.8" hidden="false" customHeight="false" outlineLevel="0" collapsed="false">
      <c r="A68" s="0" t="n">
        <v>67</v>
      </c>
      <c r="B68" s="8" t="s">
        <v>267</v>
      </c>
      <c r="C68" s="8" t="s">
        <v>29</v>
      </c>
      <c r="D68" s="8" t="s">
        <v>30</v>
      </c>
      <c r="E68" s="8" t="s">
        <v>31</v>
      </c>
      <c r="F68" s="8" t="s">
        <v>100</v>
      </c>
      <c r="I68" s="0" t="n">
        <v>80</v>
      </c>
      <c r="J68" s="0" t="n">
        <v>40</v>
      </c>
      <c r="K68" s="0" t="n">
        <v>76.9</v>
      </c>
      <c r="L68" s="0" t="n">
        <v>87.5</v>
      </c>
      <c r="M68" s="0" t="n">
        <v>0</v>
      </c>
      <c r="N68" s="0" t="n">
        <v>80</v>
      </c>
      <c r="O68" s="8" t="s">
        <v>268</v>
      </c>
      <c r="R68" s="8" t="s">
        <v>269</v>
      </c>
    </row>
    <row r="69" customFormat="false" ht="13.8" hidden="false" customHeight="false" outlineLevel="0" collapsed="false">
      <c r="A69" s="0" t="n">
        <v>68</v>
      </c>
      <c r="B69" s="8" t="s">
        <v>267</v>
      </c>
      <c r="C69" s="8" t="s">
        <v>37</v>
      </c>
      <c r="D69" s="8" t="s">
        <v>38</v>
      </c>
      <c r="E69" s="8" t="s">
        <v>31</v>
      </c>
      <c r="F69" s="8" t="s">
        <v>161</v>
      </c>
      <c r="I69" s="0" t="n">
        <v>100</v>
      </c>
      <c r="J69" s="0" t="n">
        <v>41.7</v>
      </c>
      <c r="K69" s="0" t="n">
        <v>100</v>
      </c>
      <c r="L69" s="0" t="n">
        <v>0</v>
      </c>
      <c r="M69" s="0" t="n">
        <v>80</v>
      </c>
      <c r="N69" s="0" t="n">
        <v>100</v>
      </c>
      <c r="O69" s="8" t="s">
        <v>197</v>
      </c>
      <c r="R69" s="8" t="s">
        <v>270</v>
      </c>
    </row>
    <row r="70" customFormat="false" ht="13.8" hidden="false" customHeight="false" outlineLevel="0" collapsed="false">
      <c r="A70" s="0" t="n">
        <v>69</v>
      </c>
      <c r="B70" s="8" t="s">
        <v>267</v>
      </c>
      <c r="C70" s="8" t="s">
        <v>43</v>
      </c>
      <c r="D70" s="8" t="s">
        <v>44</v>
      </c>
      <c r="E70" s="8" t="s">
        <v>31</v>
      </c>
      <c r="F70" s="8" t="s">
        <v>165</v>
      </c>
      <c r="I70" s="0" t="n">
        <v>80</v>
      </c>
      <c r="J70" s="0" t="n">
        <v>100</v>
      </c>
      <c r="K70" s="0" t="n">
        <v>53.3</v>
      </c>
      <c r="L70" s="0" t="n">
        <v>0</v>
      </c>
      <c r="M70" s="0" t="n">
        <v>80</v>
      </c>
      <c r="N70" s="0" t="n">
        <v>80</v>
      </c>
      <c r="O70" s="8" t="s">
        <v>271</v>
      </c>
      <c r="R70" s="8" t="s">
        <v>272</v>
      </c>
    </row>
    <row r="71" customFormat="false" ht="13.8" hidden="false" customHeight="false" outlineLevel="0" collapsed="false">
      <c r="A71" s="0" t="n">
        <v>70</v>
      </c>
      <c r="B71" s="8" t="s">
        <v>267</v>
      </c>
      <c r="C71" s="8" t="s">
        <v>49</v>
      </c>
      <c r="D71" s="8" t="s">
        <v>50</v>
      </c>
      <c r="E71" s="8" t="s">
        <v>31</v>
      </c>
      <c r="F71" s="8" t="s">
        <v>69</v>
      </c>
      <c r="I71" s="0" t="n">
        <v>100</v>
      </c>
      <c r="J71" s="0" t="n">
        <v>100</v>
      </c>
      <c r="K71" s="0" t="n">
        <v>100</v>
      </c>
      <c r="L71" s="0" t="n">
        <v>62.5</v>
      </c>
      <c r="M71" s="0" t="n">
        <v>100</v>
      </c>
      <c r="N71" s="0" t="n">
        <v>0</v>
      </c>
      <c r="O71" s="8" t="s">
        <v>273</v>
      </c>
      <c r="R71" s="8" t="s">
        <v>274</v>
      </c>
    </row>
    <row r="72" customFormat="false" ht="17.15" hidden="false" customHeight="false" outlineLevel="0" collapsed="false">
      <c r="A72" s="7" t="n">
        <v>71</v>
      </c>
      <c r="B72" s="5" t="s">
        <v>267</v>
      </c>
      <c r="C72" s="5" t="s">
        <v>54</v>
      </c>
      <c r="D72" s="5" t="s">
        <v>55</v>
      </c>
      <c r="E72" s="6" t="s">
        <v>56</v>
      </c>
      <c r="F72" s="7" t="s">
        <v>32</v>
      </c>
      <c r="G72" s="7" t="s">
        <v>275</v>
      </c>
      <c r="H72" s="7" t="n">
        <v>77.8</v>
      </c>
      <c r="I72" s="7"/>
      <c r="J72" s="7" t="n">
        <v>33.3</v>
      </c>
      <c r="K72" s="7" t="n">
        <v>44.4</v>
      </c>
      <c r="L72" s="7" t="n">
        <v>0</v>
      </c>
      <c r="M72" s="7" t="n">
        <v>0</v>
      </c>
      <c r="N72" s="7" t="n">
        <v>0</v>
      </c>
      <c r="O72" s="5" t="s">
        <v>276</v>
      </c>
      <c r="P72" s="5" t="s">
        <v>95</v>
      </c>
      <c r="Q72" s="7" t="n">
        <v>77.8</v>
      </c>
      <c r="R72" s="5" t="s">
        <v>277</v>
      </c>
      <c r="S72" s="7"/>
    </row>
    <row r="73" customFormat="false" ht="15" hidden="false" customHeight="false" outlineLevel="0" collapsed="false">
      <c r="A73" s="7" t="n">
        <v>72</v>
      </c>
      <c r="B73" s="5" t="s">
        <v>267</v>
      </c>
      <c r="C73" s="5" t="s">
        <v>62</v>
      </c>
      <c r="D73" s="5" t="s">
        <v>63</v>
      </c>
      <c r="E73" s="6" t="s">
        <v>31</v>
      </c>
      <c r="F73" s="7" t="s">
        <v>32</v>
      </c>
      <c r="G73" s="7" t="s">
        <v>278</v>
      </c>
      <c r="H73" s="7" t="n">
        <v>0</v>
      </c>
      <c r="I73" s="7"/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/>
      <c r="P73" s="5" t="s">
        <v>149</v>
      </c>
      <c r="Q73" s="7" t="n">
        <v>0</v>
      </c>
      <c r="R73" s="5" t="s">
        <v>279</v>
      </c>
      <c r="S73" s="7"/>
    </row>
    <row r="74" customFormat="false" ht="17.15" hidden="false" customHeight="false" outlineLevel="0" collapsed="false">
      <c r="A74" s="7" t="n">
        <v>73</v>
      </c>
      <c r="B74" s="5" t="s">
        <v>267</v>
      </c>
      <c r="C74" s="5" t="s">
        <v>67</v>
      </c>
      <c r="D74" s="5" t="s">
        <v>68</v>
      </c>
      <c r="E74" s="6" t="s">
        <v>31</v>
      </c>
      <c r="F74" s="7" t="s">
        <v>32</v>
      </c>
      <c r="G74" s="7" t="s">
        <v>280</v>
      </c>
      <c r="H74" s="7"/>
      <c r="I74" s="7"/>
      <c r="J74" s="7" t="n">
        <v>53.3</v>
      </c>
      <c r="K74" s="7" t="n">
        <v>53.3</v>
      </c>
      <c r="L74" s="7" t="n">
        <v>75</v>
      </c>
      <c r="M74" s="7" t="n">
        <v>100</v>
      </c>
      <c r="N74" s="7" t="n">
        <v>0</v>
      </c>
      <c r="O74" s="5" t="s">
        <v>281</v>
      </c>
      <c r="P74" s="5" t="s">
        <v>47</v>
      </c>
      <c r="Q74" s="7" t="n">
        <v>281.7</v>
      </c>
      <c r="R74" s="5" t="s">
        <v>282</v>
      </c>
      <c r="S74" s="7"/>
    </row>
    <row r="75" customFormat="false" ht="17.15" hidden="false" customHeight="false" outlineLevel="0" collapsed="false">
      <c r="A75" s="7" t="n">
        <v>74</v>
      </c>
      <c r="B75" s="5" t="s">
        <v>267</v>
      </c>
      <c r="C75" s="5" t="s">
        <v>72</v>
      </c>
      <c r="D75" s="5" t="s">
        <v>73</v>
      </c>
      <c r="E75" s="6" t="s">
        <v>31</v>
      </c>
      <c r="F75" s="7" t="s">
        <v>32</v>
      </c>
      <c r="G75" s="7" t="s">
        <v>74</v>
      </c>
      <c r="H75" s="7"/>
      <c r="I75" s="7"/>
      <c r="J75" s="7" t="n">
        <v>28.6</v>
      </c>
      <c r="K75" s="7" t="n">
        <v>45.5</v>
      </c>
      <c r="L75" s="7" t="n">
        <v>62.5</v>
      </c>
      <c r="M75" s="7" t="n">
        <v>100</v>
      </c>
      <c r="N75" s="7" t="n">
        <v>0</v>
      </c>
      <c r="O75" s="5" t="s">
        <v>281</v>
      </c>
      <c r="P75" s="5" t="s">
        <v>47</v>
      </c>
      <c r="Q75" s="7" t="n">
        <v>236.5</v>
      </c>
      <c r="R75" s="5" t="s">
        <v>283</v>
      </c>
      <c r="S75" s="7"/>
    </row>
    <row r="76" customFormat="false" ht="17.15" hidden="false" customHeight="false" outlineLevel="0" collapsed="false">
      <c r="A76" s="7" t="n">
        <v>75</v>
      </c>
      <c r="B76" s="5" t="s">
        <v>267</v>
      </c>
      <c r="C76" s="5" t="s">
        <v>79</v>
      </c>
      <c r="D76" s="5" t="s">
        <v>30</v>
      </c>
      <c r="E76" s="6" t="s">
        <v>31</v>
      </c>
      <c r="F76" s="7" t="s">
        <v>32</v>
      </c>
      <c r="G76" s="7" t="s">
        <v>284</v>
      </c>
      <c r="H76" s="7"/>
      <c r="I76" s="7"/>
      <c r="J76" s="7" t="n">
        <v>50</v>
      </c>
      <c r="K76" s="7" t="n">
        <v>34.6</v>
      </c>
      <c r="L76" s="7" t="n">
        <v>53.3</v>
      </c>
      <c r="M76" s="7" t="n">
        <v>100</v>
      </c>
      <c r="N76" s="7" t="n">
        <v>0</v>
      </c>
      <c r="O76" s="5" t="s">
        <v>285</v>
      </c>
      <c r="P76" s="5" t="s">
        <v>174</v>
      </c>
      <c r="Q76" s="7" t="n">
        <v>237.9</v>
      </c>
      <c r="R76" s="5" t="s">
        <v>286</v>
      </c>
      <c r="S76" s="7"/>
    </row>
    <row r="77" customFormat="false" ht="17.15" hidden="false" customHeight="false" outlineLevel="0" collapsed="false">
      <c r="A77" s="7" t="n">
        <v>76</v>
      </c>
      <c r="B77" s="5" t="s">
        <v>267</v>
      </c>
      <c r="C77" s="5" t="s">
        <v>85</v>
      </c>
      <c r="D77" s="5" t="s">
        <v>86</v>
      </c>
      <c r="E77" s="6" t="s">
        <v>31</v>
      </c>
      <c r="F77" s="7" t="s">
        <v>32</v>
      </c>
      <c r="G77" s="7" t="s">
        <v>287</v>
      </c>
      <c r="H77" s="7"/>
      <c r="I77" s="7"/>
      <c r="J77" s="7" t="n">
        <v>50</v>
      </c>
      <c r="K77" s="7" t="n">
        <v>44.4</v>
      </c>
      <c r="L77" s="7" t="n">
        <v>62.5</v>
      </c>
      <c r="M77" s="7" t="n">
        <v>80</v>
      </c>
      <c r="N77" s="7" t="n">
        <v>80</v>
      </c>
      <c r="O77" s="5" t="s">
        <v>288</v>
      </c>
      <c r="P77" s="5" t="s">
        <v>169</v>
      </c>
      <c r="Q77" s="7" t="n">
        <v>316.9</v>
      </c>
      <c r="R77" s="5" t="s">
        <v>289</v>
      </c>
      <c r="S77" s="7"/>
    </row>
    <row r="78" customFormat="false" ht="13.8" hidden="false" customHeight="false" outlineLevel="0" collapsed="false">
      <c r="A78" s="0" t="n">
        <v>77</v>
      </c>
      <c r="B78" s="8" t="s">
        <v>267</v>
      </c>
      <c r="C78" s="8" t="s">
        <v>88</v>
      </c>
      <c r="D78" s="8" t="s">
        <v>89</v>
      </c>
      <c r="E78" s="8" t="s">
        <v>31</v>
      </c>
      <c r="F78" s="8" t="s">
        <v>41</v>
      </c>
      <c r="I78" s="0" t="n">
        <v>100</v>
      </c>
      <c r="J78" s="0" t="n">
        <v>73.3</v>
      </c>
      <c r="K78" s="0" t="n">
        <v>33.3</v>
      </c>
      <c r="L78" s="0" t="n">
        <v>100</v>
      </c>
      <c r="M78" s="0" t="n">
        <v>0</v>
      </c>
      <c r="N78" s="0" t="n">
        <v>100</v>
      </c>
      <c r="O78" s="8" t="s">
        <v>290</v>
      </c>
      <c r="R78" s="8" t="s">
        <v>291</v>
      </c>
    </row>
    <row r="79" customFormat="false" ht="13.8" hidden="false" customHeight="false" outlineLevel="0" collapsed="false">
      <c r="A79" s="0" t="n">
        <v>78</v>
      </c>
      <c r="B79" s="8" t="s">
        <v>267</v>
      </c>
      <c r="C79" s="8" t="s">
        <v>91</v>
      </c>
      <c r="D79" s="8" t="s">
        <v>92</v>
      </c>
      <c r="E79" s="8" t="s">
        <v>31</v>
      </c>
      <c r="F79" s="8" t="s">
        <v>64</v>
      </c>
      <c r="I79" s="0" t="n">
        <v>100</v>
      </c>
      <c r="J79" s="0" t="n">
        <v>42.9</v>
      </c>
      <c r="K79" s="0" t="n">
        <v>100</v>
      </c>
      <c r="L79" s="0" t="n">
        <v>57.1</v>
      </c>
      <c r="M79" s="0" t="n">
        <v>0</v>
      </c>
      <c r="N79" s="0" t="n">
        <v>0</v>
      </c>
      <c r="O79" s="8" t="s">
        <v>292</v>
      </c>
      <c r="R79" s="8" t="s">
        <v>293</v>
      </c>
    </row>
    <row r="80" customFormat="false" ht="17.15" hidden="false" customHeight="false" outlineLevel="0" collapsed="false">
      <c r="A80" s="0" t="n">
        <v>79</v>
      </c>
      <c r="B80" s="8" t="s">
        <v>267</v>
      </c>
      <c r="C80" s="8" t="s">
        <v>98</v>
      </c>
      <c r="D80" s="8" t="s">
        <v>99</v>
      </c>
      <c r="E80" s="8" t="s">
        <v>31</v>
      </c>
      <c r="F80" s="8" t="s">
        <v>185</v>
      </c>
      <c r="I80" s="0" t="n">
        <v>80</v>
      </c>
      <c r="J80" s="0" t="n">
        <v>100</v>
      </c>
      <c r="K80" s="0" t="n">
        <v>100</v>
      </c>
      <c r="L80" s="0" t="n">
        <v>75</v>
      </c>
      <c r="M80" s="0" t="n">
        <v>80</v>
      </c>
      <c r="N80" s="0" t="n">
        <v>80</v>
      </c>
      <c r="O80" s="8" t="s">
        <v>294</v>
      </c>
      <c r="R80" s="8" t="s">
        <v>295</v>
      </c>
    </row>
    <row r="81" customFormat="false" ht="13.8" hidden="false" customHeight="false" outlineLevel="0" collapsed="false">
      <c r="A81" s="0" t="n">
        <v>80</v>
      </c>
      <c r="B81" s="8" t="s">
        <v>267</v>
      </c>
      <c r="C81" s="8" t="s">
        <v>103</v>
      </c>
      <c r="D81" s="8" t="s">
        <v>104</v>
      </c>
      <c r="E81" s="8" t="s">
        <v>31</v>
      </c>
      <c r="F81" s="8" t="s">
        <v>130</v>
      </c>
      <c r="I81" s="0" t="n">
        <v>100</v>
      </c>
      <c r="J81" s="0" t="n">
        <v>46.7</v>
      </c>
      <c r="K81" s="0" t="n">
        <v>88.9</v>
      </c>
      <c r="L81" s="0" t="n">
        <v>0</v>
      </c>
      <c r="M81" s="0" t="n">
        <v>80</v>
      </c>
      <c r="N81" s="0" t="n">
        <v>100</v>
      </c>
      <c r="O81" s="8" t="s">
        <v>106</v>
      </c>
      <c r="R81" s="8" t="s">
        <v>296</v>
      </c>
    </row>
    <row r="82" customFormat="false" ht="13.8" hidden="false" customHeight="false" outlineLevel="0" collapsed="false">
      <c r="A82" s="0" t="n">
        <v>81</v>
      </c>
      <c r="B82" s="8" t="s">
        <v>267</v>
      </c>
      <c r="C82" s="8" t="s">
        <v>108</v>
      </c>
      <c r="D82" s="8" t="s">
        <v>109</v>
      </c>
      <c r="E82" s="8" t="s">
        <v>31</v>
      </c>
      <c r="F82" s="8" t="s">
        <v>110</v>
      </c>
      <c r="I82" s="0" t="n">
        <v>100</v>
      </c>
      <c r="J82" s="0" t="n">
        <v>47.6</v>
      </c>
      <c r="K82" s="0" t="n">
        <v>100</v>
      </c>
      <c r="L82" s="0" t="n">
        <v>0</v>
      </c>
      <c r="M82" s="0" t="n">
        <v>100</v>
      </c>
      <c r="N82" s="0" t="n">
        <v>100</v>
      </c>
      <c r="O82" s="8" t="s">
        <v>297</v>
      </c>
      <c r="R82" s="8" t="s">
        <v>298</v>
      </c>
    </row>
    <row r="83" customFormat="false" ht="13.8" hidden="false" customHeight="false" outlineLevel="0" collapsed="false">
      <c r="A83" s="0" t="n">
        <v>82</v>
      </c>
      <c r="B83" s="8" t="s">
        <v>267</v>
      </c>
      <c r="C83" s="8" t="s">
        <v>113</v>
      </c>
      <c r="D83" s="8" t="s">
        <v>50</v>
      </c>
      <c r="E83" s="8" t="s">
        <v>31</v>
      </c>
      <c r="F83" s="8" t="s">
        <v>47</v>
      </c>
      <c r="I83" s="0" t="n">
        <v>100</v>
      </c>
      <c r="J83" s="0" t="n">
        <v>100</v>
      </c>
      <c r="K83" s="0" t="n">
        <v>100</v>
      </c>
      <c r="L83" s="0" t="n">
        <v>100</v>
      </c>
      <c r="M83" s="0" t="n">
        <v>100</v>
      </c>
      <c r="N83" s="0" t="n">
        <v>0</v>
      </c>
      <c r="O83" s="8" t="s">
        <v>281</v>
      </c>
      <c r="R83" s="8" t="s">
        <v>299</v>
      </c>
    </row>
    <row r="84" customFormat="false" ht="17.15" hidden="false" customHeight="false" outlineLevel="0" collapsed="false">
      <c r="A84" s="0" t="n">
        <v>83</v>
      </c>
      <c r="B84" s="8" t="s">
        <v>267</v>
      </c>
      <c r="C84" s="8" t="s">
        <v>115</v>
      </c>
      <c r="D84" s="8" t="s">
        <v>116</v>
      </c>
      <c r="E84" s="8" t="s">
        <v>31</v>
      </c>
      <c r="F84" s="8" t="s">
        <v>35</v>
      </c>
      <c r="I84" s="0" t="n">
        <v>100</v>
      </c>
      <c r="J84" s="0" t="n">
        <v>55.6</v>
      </c>
      <c r="K84" s="0" t="n">
        <v>100</v>
      </c>
      <c r="L84" s="0" t="n">
        <v>75</v>
      </c>
      <c r="M84" s="0" t="n">
        <v>0</v>
      </c>
      <c r="N84" s="0" t="n">
        <v>0</v>
      </c>
      <c r="O84" s="8" t="s">
        <v>300</v>
      </c>
      <c r="R84" s="8" t="s">
        <v>301</v>
      </c>
    </row>
    <row r="85" customFormat="false" ht="13.8" hidden="false" customHeight="false" outlineLevel="0" collapsed="false">
      <c r="A85" s="0" t="n">
        <v>84</v>
      </c>
      <c r="B85" s="8" t="s">
        <v>267</v>
      </c>
      <c r="C85" s="8" t="s">
        <v>120</v>
      </c>
      <c r="D85" s="8" t="s">
        <v>109</v>
      </c>
      <c r="E85" s="8" t="s">
        <v>31</v>
      </c>
      <c r="F85" s="8" t="s">
        <v>174</v>
      </c>
      <c r="I85" s="0" t="n">
        <v>100</v>
      </c>
      <c r="J85" s="0" t="n">
        <v>47.6</v>
      </c>
      <c r="K85" s="0" t="n">
        <v>100</v>
      </c>
      <c r="L85" s="0" t="n">
        <v>40</v>
      </c>
      <c r="M85" s="0" t="n">
        <v>100</v>
      </c>
      <c r="N85" s="0" t="n">
        <v>100</v>
      </c>
      <c r="O85" s="8" t="s">
        <v>285</v>
      </c>
      <c r="R85" s="8" t="s">
        <v>302</v>
      </c>
    </row>
    <row r="86" customFormat="false" ht="13.8" hidden="false" customHeight="false" outlineLevel="0" collapsed="false">
      <c r="A86" s="0" t="n">
        <v>85</v>
      </c>
      <c r="B86" s="8" t="s">
        <v>267</v>
      </c>
      <c r="C86" s="8" t="s">
        <v>124</v>
      </c>
      <c r="D86" s="8" t="s">
        <v>125</v>
      </c>
      <c r="E86" s="8" t="s">
        <v>31</v>
      </c>
      <c r="F86" s="8" t="s">
        <v>156</v>
      </c>
      <c r="I86" s="0" t="n">
        <v>80</v>
      </c>
      <c r="J86" s="0" t="n">
        <v>100</v>
      </c>
      <c r="K86" s="0" t="n">
        <v>93.3</v>
      </c>
      <c r="L86" s="0" t="n">
        <v>100</v>
      </c>
      <c r="M86" s="0" t="n">
        <v>80</v>
      </c>
      <c r="N86" s="0" t="n">
        <v>0</v>
      </c>
      <c r="O86" s="8" t="s">
        <v>303</v>
      </c>
      <c r="R86" s="8" t="s">
        <v>304</v>
      </c>
    </row>
    <row r="87" customFormat="false" ht="13.8" hidden="false" customHeight="false" outlineLevel="0" collapsed="false">
      <c r="A87" s="0" t="n">
        <v>86</v>
      </c>
      <c r="B87" s="8" t="s">
        <v>267</v>
      </c>
      <c r="C87" s="8" t="s">
        <v>129</v>
      </c>
      <c r="D87" s="8" t="s">
        <v>89</v>
      </c>
      <c r="E87" s="8" t="s">
        <v>31</v>
      </c>
      <c r="F87" s="8" t="s">
        <v>121</v>
      </c>
      <c r="I87" s="0" t="n">
        <v>100</v>
      </c>
      <c r="J87" s="0" t="n">
        <v>80</v>
      </c>
      <c r="K87" s="0" t="n">
        <v>100</v>
      </c>
      <c r="L87" s="0" t="n">
        <v>87.5</v>
      </c>
      <c r="M87" s="0" t="n">
        <v>80</v>
      </c>
      <c r="N87" s="0" t="n">
        <v>100</v>
      </c>
      <c r="O87" s="8" t="s">
        <v>305</v>
      </c>
      <c r="R87" s="8" t="s">
        <v>306</v>
      </c>
    </row>
    <row r="88" customFormat="false" ht="13.8" hidden="false" customHeight="false" outlineLevel="0" collapsed="false">
      <c r="A88" s="0" t="n">
        <v>87</v>
      </c>
      <c r="B88" s="8" t="s">
        <v>267</v>
      </c>
      <c r="C88" s="8" t="s">
        <v>133</v>
      </c>
      <c r="D88" s="8" t="s">
        <v>134</v>
      </c>
      <c r="E88" s="8" t="s">
        <v>31</v>
      </c>
      <c r="F88" s="8" t="s">
        <v>76</v>
      </c>
      <c r="I88" s="0" t="n">
        <v>100</v>
      </c>
      <c r="J88" s="0" t="n">
        <v>62.5</v>
      </c>
      <c r="K88" s="0" t="n">
        <v>59.4</v>
      </c>
      <c r="L88" s="0" t="n">
        <v>0</v>
      </c>
      <c r="M88" s="0" t="n">
        <v>100</v>
      </c>
      <c r="N88" s="0" t="n">
        <v>100</v>
      </c>
      <c r="O88" s="8" t="s">
        <v>307</v>
      </c>
      <c r="R88" s="8" t="s">
        <v>308</v>
      </c>
    </row>
    <row r="89" customFormat="false" ht="13.8" hidden="false" customHeight="false" outlineLevel="0" collapsed="false">
      <c r="A89" s="0" t="n">
        <v>88</v>
      </c>
      <c r="B89" s="8" t="s">
        <v>267</v>
      </c>
      <c r="C89" s="8" t="s">
        <v>138</v>
      </c>
      <c r="D89" s="8" t="s">
        <v>139</v>
      </c>
      <c r="E89" s="8" t="s">
        <v>31</v>
      </c>
      <c r="F89" s="8" t="s">
        <v>117</v>
      </c>
      <c r="I89" s="0" t="n">
        <v>80</v>
      </c>
      <c r="J89" s="0" t="n">
        <v>100</v>
      </c>
      <c r="K89" s="0" t="n">
        <v>44.4</v>
      </c>
      <c r="L89" s="0" t="n">
        <v>0</v>
      </c>
      <c r="M89" s="0" t="n">
        <v>0</v>
      </c>
      <c r="N89" s="0" t="n">
        <v>80</v>
      </c>
      <c r="O89" s="8" t="s">
        <v>309</v>
      </c>
      <c r="R89" s="8" t="s">
        <v>310</v>
      </c>
    </row>
    <row r="90" customFormat="false" ht="17.15" hidden="false" customHeight="false" outlineLevel="0" collapsed="false">
      <c r="A90" s="0" t="n">
        <v>89</v>
      </c>
      <c r="B90" s="8" t="s">
        <v>267</v>
      </c>
      <c r="C90" s="8" t="s">
        <v>143</v>
      </c>
      <c r="D90" s="8" t="s">
        <v>144</v>
      </c>
      <c r="E90" s="8" t="s">
        <v>31</v>
      </c>
      <c r="F90" s="8" t="s">
        <v>145</v>
      </c>
      <c r="I90" s="0" t="n">
        <v>80</v>
      </c>
      <c r="J90" s="0" t="n">
        <v>100</v>
      </c>
      <c r="K90" s="0" t="n">
        <v>11.8</v>
      </c>
      <c r="L90" s="0" t="n">
        <v>14.3</v>
      </c>
      <c r="M90" s="0" t="n">
        <v>80</v>
      </c>
      <c r="N90" s="0" t="n">
        <v>0</v>
      </c>
      <c r="O90" s="8" t="s">
        <v>311</v>
      </c>
      <c r="R90" s="8" t="s">
        <v>312</v>
      </c>
    </row>
    <row r="91" customFormat="false" ht="17.15" hidden="false" customHeight="false" outlineLevel="0" collapsed="false">
      <c r="A91" s="7" t="n">
        <v>90</v>
      </c>
      <c r="B91" s="5" t="s">
        <v>267</v>
      </c>
      <c r="C91" s="5" t="s">
        <v>148</v>
      </c>
      <c r="D91" s="5" t="s">
        <v>73</v>
      </c>
      <c r="E91" s="6" t="s">
        <v>56</v>
      </c>
      <c r="F91" s="7" t="s">
        <v>32</v>
      </c>
      <c r="G91" s="7" t="s">
        <v>313</v>
      </c>
      <c r="H91" s="7" t="n">
        <v>82.9</v>
      </c>
      <c r="I91" s="7"/>
      <c r="J91" s="7" t="n">
        <v>40</v>
      </c>
      <c r="K91" s="7" t="n">
        <v>42.9</v>
      </c>
      <c r="L91" s="7" t="n">
        <v>0</v>
      </c>
      <c r="M91" s="7" t="n">
        <v>0</v>
      </c>
      <c r="N91" s="7" t="n">
        <v>0</v>
      </c>
      <c r="O91" s="5" t="s">
        <v>314</v>
      </c>
      <c r="P91" s="5" t="s">
        <v>105</v>
      </c>
      <c r="Q91" s="7" t="n">
        <v>82.9</v>
      </c>
      <c r="R91" s="5" t="s">
        <v>315</v>
      </c>
      <c r="S91" s="7"/>
    </row>
    <row r="92" customFormat="false" ht="17.15" hidden="false" customHeight="false" outlineLevel="0" collapsed="false">
      <c r="A92" s="7" t="n">
        <v>91</v>
      </c>
      <c r="B92" s="5" t="s">
        <v>267</v>
      </c>
      <c r="C92" s="5" t="s">
        <v>152</v>
      </c>
      <c r="D92" s="5" t="s">
        <v>153</v>
      </c>
      <c r="E92" s="6" t="s">
        <v>31</v>
      </c>
      <c r="F92" s="7" t="s">
        <v>32</v>
      </c>
      <c r="G92" s="7" t="s">
        <v>316</v>
      </c>
      <c r="H92" s="7" t="n">
        <v>207.8</v>
      </c>
      <c r="I92" s="7"/>
      <c r="J92" s="7" t="n">
        <v>55.6</v>
      </c>
      <c r="K92" s="7" t="n">
        <v>22.2</v>
      </c>
      <c r="L92" s="7" t="n">
        <v>50</v>
      </c>
      <c r="M92" s="7" t="n">
        <v>80</v>
      </c>
      <c r="N92" s="7" t="n">
        <v>0</v>
      </c>
      <c r="O92" s="5" t="s">
        <v>317</v>
      </c>
      <c r="P92" s="5" t="s">
        <v>178</v>
      </c>
      <c r="Q92" s="7" t="n">
        <v>207.8</v>
      </c>
      <c r="R92" s="5" t="s">
        <v>318</v>
      </c>
      <c r="S92" s="7"/>
    </row>
    <row r="93" customFormat="false" ht="13.8" hidden="false" customHeight="false" outlineLevel="0" collapsed="false">
      <c r="A93" s="0" t="n">
        <v>92</v>
      </c>
      <c r="B93" s="8" t="s">
        <v>267</v>
      </c>
      <c r="C93" s="8" t="s">
        <v>159</v>
      </c>
      <c r="D93" s="8" t="s">
        <v>160</v>
      </c>
      <c r="E93" s="8" t="s">
        <v>31</v>
      </c>
      <c r="F93" s="8" t="s">
        <v>169</v>
      </c>
      <c r="I93" s="0" t="n">
        <v>100</v>
      </c>
      <c r="J93" s="0" t="n">
        <v>85.7</v>
      </c>
      <c r="K93" s="0" t="n">
        <v>100</v>
      </c>
      <c r="L93" s="0" t="n">
        <v>100</v>
      </c>
      <c r="M93" s="0" t="n">
        <v>100</v>
      </c>
      <c r="N93" s="0" t="n">
        <v>0</v>
      </c>
      <c r="O93" s="8" t="s">
        <v>288</v>
      </c>
      <c r="R93" s="8" t="s">
        <v>319</v>
      </c>
    </row>
    <row r="94" customFormat="false" ht="13.8" hidden="false" customHeight="false" outlineLevel="0" collapsed="false">
      <c r="A94" s="0" t="n">
        <v>93</v>
      </c>
      <c r="B94" s="8" t="s">
        <v>267</v>
      </c>
      <c r="C94" s="8" t="s">
        <v>164</v>
      </c>
      <c r="D94" s="8" t="s">
        <v>30</v>
      </c>
      <c r="E94" s="8" t="s">
        <v>31</v>
      </c>
      <c r="F94" s="8" t="s">
        <v>126</v>
      </c>
      <c r="I94" s="0" t="n">
        <v>80</v>
      </c>
      <c r="J94" s="0" t="n">
        <v>42.1</v>
      </c>
      <c r="K94" s="0" t="n">
        <v>65.4</v>
      </c>
      <c r="L94" s="0" t="n">
        <v>100</v>
      </c>
      <c r="M94" s="0" t="n">
        <v>0</v>
      </c>
      <c r="N94" s="0" t="n">
        <v>80</v>
      </c>
      <c r="O94" s="8" t="s">
        <v>320</v>
      </c>
      <c r="R94" s="8" t="s">
        <v>321</v>
      </c>
    </row>
    <row r="95" customFormat="false" ht="13.8" hidden="false" customHeight="false" outlineLevel="0" collapsed="false">
      <c r="A95" s="0" t="n">
        <v>94</v>
      </c>
      <c r="B95" s="8" t="s">
        <v>267</v>
      </c>
      <c r="C95" s="8" t="s">
        <v>168</v>
      </c>
      <c r="D95" s="8" t="s">
        <v>109</v>
      </c>
      <c r="E95" s="8" t="s">
        <v>31</v>
      </c>
      <c r="F95" s="8" t="s">
        <v>82</v>
      </c>
      <c r="I95" s="0" t="n">
        <v>100</v>
      </c>
      <c r="J95" s="0" t="n">
        <v>47.6</v>
      </c>
      <c r="K95" s="0" t="n">
        <v>100</v>
      </c>
      <c r="L95" s="0" t="n">
        <v>0</v>
      </c>
      <c r="M95" s="0" t="n">
        <v>100</v>
      </c>
      <c r="N95" s="0" t="n">
        <v>100</v>
      </c>
      <c r="O95" s="8" t="s">
        <v>170</v>
      </c>
      <c r="R95" s="8" t="s">
        <v>322</v>
      </c>
    </row>
    <row r="96" customFormat="false" ht="17.15" hidden="false" customHeight="false" outlineLevel="0" collapsed="false">
      <c r="A96" s="7" t="n">
        <v>95</v>
      </c>
      <c r="B96" s="5" t="s">
        <v>267</v>
      </c>
      <c r="C96" s="5" t="s">
        <v>172</v>
      </c>
      <c r="D96" s="5" t="s">
        <v>173</v>
      </c>
      <c r="E96" s="6" t="s">
        <v>56</v>
      </c>
      <c r="F96" s="7" t="s">
        <v>32</v>
      </c>
      <c r="G96" s="7" t="s">
        <v>323</v>
      </c>
      <c r="H96" s="7"/>
      <c r="I96" s="7"/>
      <c r="J96" s="7" t="n">
        <v>100</v>
      </c>
      <c r="K96" s="7" t="n">
        <v>100</v>
      </c>
      <c r="L96" s="7" t="n">
        <v>62.5</v>
      </c>
      <c r="M96" s="7" t="n">
        <v>0</v>
      </c>
      <c r="N96" s="7" t="n">
        <v>0</v>
      </c>
      <c r="O96" s="5" t="s">
        <v>268</v>
      </c>
      <c r="P96" s="5" t="s">
        <v>100</v>
      </c>
      <c r="Q96" s="7" t="n">
        <v>262.5</v>
      </c>
      <c r="R96" s="5" t="s">
        <v>324</v>
      </c>
      <c r="S96" s="7"/>
    </row>
    <row r="97" customFormat="false" ht="17.15" hidden="false" customHeight="false" outlineLevel="0" collapsed="false">
      <c r="A97" s="7" t="n">
        <v>96</v>
      </c>
      <c r="B97" s="5" t="s">
        <v>267</v>
      </c>
      <c r="C97" s="5" t="s">
        <v>177</v>
      </c>
      <c r="D97" s="5" t="s">
        <v>86</v>
      </c>
      <c r="E97" s="6" t="s">
        <v>56</v>
      </c>
      <c r="F97" s="7" t="s">
        <v>32</v>
      </c>
      <c r="G97" s="7" t="s">
        <v>325</v>
      </c>
      <c r="H97" s="7" t="n">
        <v>240.4</v>
      </c>
      <c r="I97" s="7"/>
      <c r="J97" s="7" t="n">
        <v>47.1</v>
      </c>
      <c r="K97" s="7" t="n">
        <v>33.3</v>
      </c>
      <c r="L97" s="7" t="n">
        <v>0</v>
      </c>
      <c r="M97" s="7" t="n">
        <v>80</v>
      </c>
      <c r="N97" s="7" t="n">
        <v>80</v>
      </c>
      <c r="O97" s="5" t="s">
        <v>326</v>
      </c>
      <c r="P97" s="5" t="s">
        <v>135</v>
      </c>
      <c r="Q97" s="7" t="n">
        <v>240.4</v>
      </c>
      <c r="R97" s="5" t="s">
        <v>327</v>
      </c>
      <c r="S97" s="7"/>
    </row>
    <row r="98" customFormat="false" ht="13.8" hidden="false" customHeight="false" outlineLevel="0" collapsed="false">
      <c r="A98" s="0" t="n">
        <v>97</v>
      </c>
      <c r="B98" s="8" t="s">
        <v>267</v>
      </c>
      <c r="C98" s="8" t="s">
        <v>181</v>
      </c>
      <c r="D98" s="8" t="s">
        <v>182</v>
      </c>
      <c r="E98" s="8" t="s">
        <v>31</v>
      </c>
      <c r="F98" s="8" t="s">
        <v>59</v>
      </c>
      <c r="I98" s="0" t="n">
        <v>80</v>
      </c>
      <c r="J98" s="0" t="n">
        <v>100</v>
      </c>
      <c r="K98" s="0" t="n">
        <v>88.9</v>
      </c>
      <c r="L98" s="0" t="n">
        <v>62.5</v>
      </c>
      <c r="M98" s="0" t="n">
        <v>80</v>
      </c>
      <c r="N98" s="0" t="n">
        <v>80</v>
      </c>
      <c r="O98" s="8" t="s">
        <v>328</v>
      </c>
      <c r="R98" s="8" t="s">
        <v>329</v>
      </c>
    </row>
    <row r="99" customFormat="false" ht="13.8" hidden="false" customHeight="false" outlineLevel="0" collapsed="false">
      <c r="A99" s="0" t="n">
        <v>98</v>
      </c>
      <c r="B99" s="8" t="s">
        <v>267</v>
      </c>
      <c r="C99" s="8" t="s">
        <v>187</v>
      </c>
      <c r="D99" s="8" t="s">
        <v>188</v>
      </c>
      <c r="E99" s="8" t="s">
        <v>31</v>
      </c>
      <c r="F99" s="8" t="s">
        <v>51</v>
      </c>
      <c r="I99" s="0" t="n">
        <v>80</v>
      </c>
      <c r="J99" s="0" t="n">
        <v>66.7</v>
      </c>
      <c r="K99" s="0" t="n">
        <v>83.3</v>
      </c>
      <c r="L99" s="0" t="n">
        <v>0</v>
      </c>
      <c r="M99" s="0" t="n">
        <v>80</v>
      </c>
      <c r="N99" s="0" t="n">
        <v>80</v>
      </c>
      <c r="O99" s="8" t="s">
        <v>330</v>
      </c>
      <c r="R99" s="8" t="s">
        <v>331</v>
      </c>
    </row>
    <row r="100" customFormat="false" ht="17.15" hidden="false" customHeight="false" outlineLevel="0" collapsed="false">
      <c r="A100" s="7" t="n">
        <v>99</v>
      </c>
      <c r="B100" s="5" t="s">
        <v>267</v>
      </c>
      <c r="C100" s="5" t="s">
        <v>191</v>
      </c>
      <c r="D100" s="5" t="s">
        <v>73</v>
      </c>
      <c r="E100" s="6" t="s">
        <v>56</v>
      </c>
      <c r="F100" s="7" t="s">
        <v>32</v>
      </c>
      <c r="G100" s="7" t="s">
        <v>332</v>
      </c>
      <c r="H100" s="7"/>
      <c r="I100" s="7"/>
      <c r="J100" s="7" t="n">
        <v>31.6</v>
      </c>
      <c r="K100" s="7" t="n">
        <v>27.3</v>
      </c>
      <c r="L100" s="7" t="n">
        <v>75</v>
      </c>
      <c r="M100" s="7" t="n">
        <v>0</v>
      </c>
      <c r="N100" s="7" t="n">
        <v>80</v>
      </c>
      <c r="O100" s="5" t="s">
        <v>303</v>
      </c>
      <c r="P100" s="5" t="s">
        <v>156</v>
      </c>
      <c r="Q100" s="7" t="n">
        <v>213.9</v>
      </c>
      <c r="R100" s="5" t="s">
        <v>333</v>
      </c>
      <c r="S100" s="7"/>
    </row>
    <row r="101" customFormat="false" ht="17.15" hidden="false" customHeight="false" outlineLevel="0" collapsed="false">
      <c r="A101" s="7" t="n">
        <v>100</v>
      </c>
      <c r="B101" s="5" t="s">
        <v>334</v>
      </c>
      <c r="C101" s="5" t="s">
        <v>29</v>
      </c>
      <c r="D101" s="5" t="s">
        <v>30</v>
      </c>
      <c r="E101" s="6" t="s">
        <v>56</v>
      </c>
      <c r="F101" s="7" t="s">
        <v>32</v>
      </c>
      <c r="G101" s="7" t="s">
        <v>335</v>
      </c>
      <c r="H101" s="7" t="n">
        <v>92.1</v>
      </c>
      <c r="I101" s="7"/>
      <c r="J101" s="7" t="n">
        <v>14.3</v>
      </c>
      <c r="K101" s="7" t="n">
        <v>77.8</v>
      </c>
      <c r="L101" s="7" t="n">
        <v>0</v>
      </c>
      <c r="M101" s="7" t="n">
        <v>0</v>
      </c>
      <c r="N101" s="7" t="n">
        <v>0</v>
      </c>
      <c r="O101" s="5" t="s">
        <v>336</v>
      </c>
      <c r="P101" s="5" t="s">
        <v>47</v>
      </c>
      <c r="Q101" s="7" t="n">
        <v>92.1</v>
      </c>
      <c r="R101" s="5" t="s">
        <v>337</v>
      </c>
      <c r="S101" s="7"/>
    </row>
    <row r="102" customFormat="false" ht="17.15" hidden="false" customHeight="false" outlineLevel="0" collapsed="false">
      <c r="A102" s="7" t="n">
        <v>101</v>
      </c>
      <c r="B102" s="5" t="s">
        <v>334</v>
      </c>
      <c r="C102" s="5" t="s">
        <v>37</v>
      </c>
      <c r="D102" s="5" t="s">
        <v>38</v>
      </c>
      <c r="E102" s="6" t="s">
        <v>31</v>
      </c>
      <c r="F102" s="7" t="s">
        <v>32</v>
      </c>
      <c r="G102" s="7" t="s">
        <v>338</v>
      </c>
      <c r="H102" s="7" t="n">
        <v>117.5</v>
      </c>
      <c r="I102" s="7"/>
      <c r="J102" s="7" t="n">
        <v>37.5</v>
      </c>
      <c r="K102" s="7" t="n">
        <v>0</v>
      </c>
      <c r="L102" s="7" t="n">
        <v>0</v>
      </c>
      <c r="M102" s="7" t="n">
        <v>80</v>
      </c>
      <c r="N102" s="7" t="n">
        <v>0</v>
      </c>
      <c r="O102" s="5" t="s">
        <v>339</v>
      </c>
      <c r="P102" s="5" t="s">
        <v>41</v>
      </c>
      <c r="Q102" s="7" t="n">
        <v>117.5</v>
      </c>
      <c r="R102" s="5" t="s">
        <v>340</v>
      </c>
      <c r="S102" s="7"/>
    </row>
    <row r="103" customFormat="false" ht="13.8" hidden="false" customHeight="false" outlineLevel="0" collapsed="false">
      <c r="A103" s="7" t="n">
        <v>102</v>
      </c>
      <c r="B103" s="5" t="s">
        <v>334</v>
      </c>
      <c r="C103" s="5" t="s">
        <v>43</v>
      </c>
      <c r="D103" s="5" t="s">
        <v>44</v>
      </c>
      <c r="E103" s="6" t="s">
        <v>56</v>
      </c>
      <c r="F103" s="7" t="s">
        <v>32</v>
      </c>
      <c r="G103" s="7" t="s">
        <v>278</v>
      </c>
      <c r="H103" s="7" t="n">
        <v>0</v>
      </c>
      <c r="I103" s="7"/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/>
      <c r="P103" s="5" t="s">
        <v>165</v>
      </c>
      <c r="Q103" s="7" t="n">
        <v>0</v>
      </c>
      <c r="R103" s="5" t="s">
        <v>341</v>
      </c>
      <c r="S103" s="7"/>
    </row>
    <row r="104" customFormat="false" ht="13.8" hidden="false" customHeight="false" outlineLevel="0" collapsed="false">
      <c r="A104" s="0" t="n">
        <v>103</v>
      </c>
      <c r="B104" s="8" t="s">
        <v>334</v>
      </c>
      <c r="C104" s="8" t="s">
        <v>49</v>
      </c>
      <c r="D104" s="8" t="s">
        <v>50</v>
      </c>
      <c r="E104" s="8" t="s">
        <v>31</v>
      </c>
      <c r="F104" s="8" t="s">
        <v>135</v>
      </c>
      <c r="I104" s="0" t="n">
        <v>100</v>
      </c>
      <c r="J104" s="0" t="n">
        <v>100</v>
      </c>
      <c r="K104" s="0" t="n">
        <v>100</v>
      </c>
      <c r="L104" s="0" t="n">
        <v>62.5</v>
      </c>
      <c r="M104" s="0" t="n">
        <v>0</v>
      </c>
      <c r="N104" s="0" t="n">
        <v>0</v>
      </c>
      <c r="O104" s="8" t="s">
        <v>342</v>
      </c>
      <c r="R104" s="8" t="s">
        <v>343</v>
      </c>
    </row>
    <row r="105" customFormat="false" ht="13.8" hidden="false" customHeight="false" outlineLevel="0" collapsed="false">
      <c r="A105" s="0" t="n">
        <v>104</v>
      </c>
      <c r="B105" s="8" t="s">
        <v>334</v>
      </c>
      <c r="C105" s="8" t="s">
        <v>54</v>
      </c>
      <c r="D105" s="8" t="s">
        <v>55</v>
      </c>
      <c r="E105" s="8" t="s">
        <v>31</v>
      </c>
      <c r="F105" s="8" t="s">
        <v>110</v>
      </c>
      <c r="I105" s="0" t="n">
        <v>100</v>
      </c>
      <c r="J105" s="0" t="n">
        <v>100</v>
      </c>
      <c r="K105" s="0" t="n">
        <v>78.9</v>
      </c>
      <c r="L105" s="0" t="n">
        <v>100</v>
      </c>
      <c r="M105" s="0" t="n">
        <v>80</v>
      </c>
      <c r="N105" s="0" t="n">
        <v>100</v>
      </c>
      <c r="O105" s="8" t="s">
        <v>344</v>
      </c>
      <c r="R105" s="8" t="s">
        <v>345</v>
      </c>
    </row>
    <row r="106" customFormat="false" ht="17.15" hidden="false" customHeight="false" outlineLevel="0" collapsed="false">
      <c r="A106" s="7" t="n">
        <v>105</v>
      </c>
      <c r="B106" s="5" t="s">
        <v>334</v>
      </c>
      <c r="C106" s="5" t="s">
        <v>62</v>
      </c>
      <c r="D106" s="5" t="s">
        <v>63</v>
      </c>
      <c r="E106" s="6" t="s">
        <v>31</v>
      </c>
      <c r="F106" s="7" t="s">
        <v>32</v>
      </c>
      <c r="G106" s="7" t="s">
        <v>346</v>
      </c>
      <c r="H106" s="7"/>
      <c r="I106" s="7"/>
      <c r="J106" s="7" t="n">
        <v>37.5</v>
      </c>
      <c r="K106" s="7" t="n">
        <v>66.7</v>
      </c>
      <c r="L106" s="7" t="n">
        <v>62.5</v>
      </c>
      <c r="M106" s="7" t="n">
        <v>100</v>
      </c>
      <c r="N106" s="7" t="n">
        <v>0</v>
      </c>
      <c r="O106" s="5" t="s">
        <v>347</v>
      </c>
      <c r="P106" s="5" t="s">
        <v>69</v>
      </c>
      <c r="Q106" s="7" t="n">
        <v>266.7</v>
      </c>
      <c r="R106" s="5" t="s">
        <v>348</v>
      </c>
      <c r="S106" s="7"/>
    </row>
    <row r="107" customFormat="false" ht="17.15" hidden="false" customHeight="false" outlineLevel="0" collapsed="false">
      <c r="A107" s="7" t="n">
        <v>106</v>
      </c>
      <c r="B107" s="5" t="s">
        <v>334</v>
      </c>
      <c r="C107" s="5" t="s">
        <v>67</v>
      </c>
      <c r="D107" s="5" t="s">
        <v>68</v>
      </c>
      <c r="E107" s="6" t="s">
        <v>31</v>
      </c>
      <c r="F107" s="7" t="s">
        <v>32</v>
      </c>
      <c r="G107" s="7" t="s">
        <v>241</v>
      </c>
      <c r="H107" s="7"/>
      <c r="I107" s="7"/>
      <c r="J107" s="7" t="n">
        <v>53.3</v>
      </c>
      <c r="K107" s="7" t="n">
        <v>46.7</v>
      </c>
      <c r="L107" s="7" t="n">
        <v>75</v>
      </c>
      <c r="M107" s="7" t="n">
        <v>100</v>
      </c>
      <c r="N107" s="7" t="n">
        <v>0</v>
      </c>
      <c r="O107" s="5" t="s">
        <v>349</v>
      </c>
      <c r="P107" s="5" t="s">
        <v>185</v>
      </c>
      <c r="Q107" s="7" t="n">
        <v>275</v>
      </c>
      <c r="R107" s="5" t="s">
        <v>350</v>
      </c>
      <c r="S107" s="7"/>
    </row>
    <row r="108" customFormat="false" ht="13.8" hidden="false" customHeight="false" outlineLevel="0" collapsed="false">
      <c r="A108" s="0" t="n">
        <v>107</v>
      </c>
      <c r="B108" s="8" t="s">
        <v>334</v>
      </c>
      <c r="C108" s="8" t="s">
        <v>72</v>
      </c>
      <c r="D108" s="8" t="s">
        <v>73</v>
      </c>
      <c r="E108" s="8" t="s">
        <v>31</v>
      </c>
      <c r="F108" s="8" t="s">
        <v>161</v>
      </c>
      <c r="I108" s="0" t="n">
        <v>80</v>
      </c>
      <c r="J108" s="0" t="n">
        <v>77.8</v>
      </c>
      <c r="K108" s="0" t="n">
        <v>45.5</v>
      </c>
      <c r="L108" s="0" t="n">
        <v>87.5</v>
      </c>
      <c r="M108" s="0" t="n">
        <v>80</v>
      </c>
      <c r="N108" s="0" t="n">
        <v>0</v>
      </c>
      <c r="O108" s="8" t="s">
        <v>351</v>
      </c>
      <c r="R108" s="8" t="s">
        <v>352</v>
      </c>
    </row>
    <row r="109" customFormat="false" ht="13.8" hidden="false" customHeight="false" outlineLevel="0" collapsed="false">
      <c r="A109" s="0" t="n">
        <v>108</v>
      </c>
      <c r="B109" s="8" t="s">
        <v>334</v>
      </c>
      <c r="C109" s="8" t="s">
        <v>79</v>
      </c>
      <c r="D109" s="8" t="s">
        <v>30</v>
      </c>
      <c r="E109" s="8" t="s">
        <v>31</v>
      </c>
      <c r="F109" s="8" t="s">
        <v>35</v>
      </c>
      <c r="I109" s="0" t="n">
        <v>80</v>
      </c>
      <c r="J109" s="0" t="n">
        <v>40</v>
      </c>
      <c r="K109" s="0" t="n">
        <v>61.5</v>
      </c>
      <c r="L109" s="0" t="n">
        <v>100</v>
      </c>
      <c r="M109" s="0" t="n">
        <v>80</v>
      </c>
      <c r="N109" s="0" t="n">
        <v>80</v>
      </c>
      <c r="O109" s="8" t="s">
        <v>353</v>
      </c>
      <c r="R109" s="8" t="s">
        <v>354</v>
      </c>
    </row>
    <row r="110" customFormat="false" ht="17.15" hidden="false" customHeight="false" outlineLevel="0" collapsed="false">
      <c r="A110" s="7" t="n">
        <v>109</v>
      </c>
      <c r="B110" s="5" t="s">
        <v>334</v>
      </c>
      <c r="C110" s="5" t="s">
        <v>85</v>
      </c>
      <c r="D110" s="5" t="s">
        <v>86</v>
      </c>
      <c r="E110" s="6" t="s">
        <v>56</v>
      </c>
      <c r="F110" s="7" t="s">
        <v>32</v>
      </c>
      <c r="G110" s="7" t="s">
        <v>355</v>
      </c>
      <c r="H110" s="7" t="n">
        <v>302.2</v>
      </c>
      <c r="I110" s="7"/>
      <c r="J110" s="7" t="n">
        <v>50</v>
      </c>
      <c r="K110" s="7" t="n">
        <v>33.3</v>
      </c>
      <c r="L110" s="7" t="n">
        <v>58.8</v>
      </c>
      <c r="M110" s="7" t="n">
        <v>80</v>
      </c>
      <c r="N110" s="7" t="n">
        <v>80</v>
      </c>
      <c r="O110" s="5" t="s">
        <v>356</v>
      </c>
      <c r="P110" s="5" t="s">
        <v>126</v>
      </c>
      <c r="Q110" s="7" t="n">
        <v>302.2</v>
      </c>
      <c r="R110" s="5" t="s">
        <v>357</v>
      </c>
      <c r="S110" s="7"/>
    </row>
    <row r="111" customFormat="false" ht="13.8" hidden="false" customHeight="false" outlineLevel="0" collapsed="false">
      <c r="A111" s="0" t="n">
        <v>110</v>
      </c>
      <c r="B111" s="8" t="s">
        <v>334</v>
      </c>
      <c r="C111" s="8" t="s">
        <v>88</v>
      </c>
      <c r="D111" s="8" t="s">
        <v>89</v>
      </c>
      <c r="E111" s="8" t="s">
        <v>31</v>
      </c>
      <c r="F111" s="8" t="s">
        <v>105</v>
      </c>
      <c r="I111" s="0" t="n">
        <v>100</v>
      </c>
      <c r="J111" s="0" t="n">
        <v>66.7</v>
      </c>
      <c r="K111" s="0" t="n">
        <v>33.3</v>
      </c>
      <c r="L111" s="0" t="n">
        <v>100</v>
      </c>
      <c r="M111" s="0" t="n">
        <v>0</v>
      </c>
      <c r="N111" s="0" t="n">
        <v>100</v>
      </c>
      <c r="O111" s="8" t="s">
        <v>358</v>
      </c>
      <c r="R111" s="8" t="s">
        <v>359</v>
      </c>
    </row>
    <row r="112" customFormat="false" ht="13.8" hidden="false" customHeight="false" outlineLevel="0" collapsed="false">
      <c r="A112" s="0" t="n">
        <v>111</v>
      </c>
      <c r="B112" s="8" t="s">
        <v>334</v>
      </c>
      <c r="C112" s="8" t="s">
        <v>91</v>
      </c>
      <c r="D112" s="8" t="s">
        <v>92</v>
      </c>
      <c r="E112" s="8" t="s">
        <v>31</v>
      </c>
      <c r="F112" s="8" t="s">
        <v>76</v>
      </c>
      <c r="I112" s="0" t="n">
        <v>100</v>
      </c>
      <c r="J112" s="0" t="n">
        <v>55.6</v>
      </c>
      <c r="K112" s="0" t="n">
        <v>100</v>
      </c>
      <c r="L112" s="0" t="n">
        <v>57.1</v>
      </c>
      <c r="M112" s="0" t="n">
        <v>80</v>
      </c>
      <c r="N112" s="0" t="n">
        <v>100</v>
      </c>
      <c r="O112" s="8" t="s">
        <v>360</v>
      </c>
      <c r="R112" s="8" t="s">
        <v>361</v>
      </c>
    </row>
    <row r="113" customFormat="false" ht="17.15" hidden="false" customHeight="false" outlineLevel="0" collapsed="false">
      <c r="A113" s="7" t="n">
        <v>112</v>
      </c>
      <c r="B113" s="5" t="s">
        <v>334</v>
      </c>
      <c r="C113" s="5" t="s">
        <v>98</v>
      </c>
      <c r="D113" s="5" t="s">
        <v>99</v>
      </c>
      <c r="E113" s="6" t="s">
        <v>56</v>
      </c>
      <c r="F113" s="7" t="s">
        <v>32</v>
      </c>
      <c r="G113" s="7" t="s">
        <v>362</v>
      </c>
      <c r="H113" s="7"/>
      <c r="I113" s="7"/>
      <c r="J113" s="7" t="n">
        <v>30.8</v>
      </c>
      <c r="K113" s="7" t="n">
        <v>41.7</v>
      </c>
      <c r="L113" s="7" t="n">
        <v>75</v>
      </c>
      <c r="M113" s="7" t="n">
        <v>0</v>
      </c>
      <c r="N113" s="7" t="n">
        <v>0</v>
      </c>
      <c r="O113" s="5" t="s">
        <v>342</v>
      </c>
      <c r="P113" s="5" t="s">
        <v>135</v>
      </c>
      <c r="Q113" s="7" t="n">
        <v>147.4</v>
      </c>
      <c r="R113" s="5" t="s">
        <v>363</v>
      </c>
      <c r="S113" s="7"/>
    </row>
    <row r="114" customFormat="false" ht="13.8" hidden="false" customHeight="false" outlineLevel="0" collapsed="false">
      <c r="A114" s="0" t="n">
        <v>113</v>
      </c>
      <c r="B114" s="8" t="s">
        <v>334</v>
      </c>
      <c r="C114" s="8" t="s">
        <v>103</v>
      </c>
      <c r="D114" s="8" t="s">
        <v>104</v>
      </c>
      <c r="E114" s="8" t="s">
        <v>31</v>
      </c>
      <c r="F114" s="8" t="s">
        <v>145</v>
      </c>
      <c r="I114" s="0" t="n">
        <v>100</v>
      </c>
      <c r="J114" s="0" t="n">
        <v>46.7</v>
      </c>
      <c r="K114" s="0" t="n">
        <v>88.9</v>
      </c>
      <c r="L114" s="0" t="n">
        <v>0</v>
      </c>
      <c r="M114" s="0" t="n">
        <v>80</v>
      </c>
      <c r="N114" s="0" t="n">
        <v>100</v>
      </c>
      <c r="O114" s="8" t="s">
        <v>364</v>
      </c>
      <c r="R114" s="8" t="s">
        <v>365</v>
      </c>
    </row>
    <row r="115" customFormat="false" ht="13.8" hidden="false" customHeight="false" outlineLevel="0" collapsed="false">
      <c r="A115" s="0" t="n">
        <v>114</v>
      </c>
      <c r="B115" s="8" t="s">
        <v>334</v>
      </c>
      <c r="C115" s="8" t="s">
        <v>108</v>
      </c>
      <c r="D115" s="8" t="s">
        <v>109</v>
      </c>
      <c r="E115" s="8" t="s">
        <v>31</v>
      </c>
      <c r="F115" s="8" t="s">
        <v>82</v>
      </c>
      <c r="I115" s="0" t="n">
        <v>100</v>
      </c>
      <c r="J115" s="0" t="n">
        <v>47.6</v>
      </c>
      <c r="K115" s="0" t="n">
        <v>100</v>
      </c>
      <c r="L115" s="0" t="n">
        <v>0</v>
      </c>
      <c r="M115" s="0" t="n">
        <v>100</v>
      </c>
      <c r="N115" s="0" t="n">
        <v>100</v>
      </c>
      <c r="O115" s="8" t="s">
        <v>111</v>
      </c>
      <c r="R115" s="8" t="s">
        <v>366</v>
      </c>
    </row>
    <row r="116" customFormat="false" ht="13.8" hidden="false" customHeight="false" outlineLevel="0" collapsed="false">
      <c r="A116" s="0" t="n">
        <v>115</v>
      </c>
      <c r="B116" s="8" t="s">
        <v>334</v>
      </c>
      <c r="C116" s="8" t="s">
        <v>113</v>
      </c>
      <c r="D116" s="8" t="s">
        <v>50</v>
      </c>
      <c r="E116" s="8" t="s">
        <v>31</v>
      </c>
      <c r="F116" s="8" t="s">
        <v>185</v>
      </c>
      <c r="I116" s="0" t="n">
        <v>100</v>
      </c>
      <c r="J116" s="0" t="n">
        <v>100</v>
      </c>
      <c r="K116" s="0" t="n">
        <v>100</v>
      </c>
      <c r="L116" s="0" t="n">
        <v>100</v>
      </c>
      <c r="M116" s="0" t="n">
        <v>100</v>
      </c>
      <c r="N116" s="0" t="n">
        <v>80</v>
      </c>
      <c r="O116" s="8" t="s">
        <v>349</v>
      </c>
      <c r="R116" s="8" t="s">
        <v>367</v>
      </c>
    </row>
    <row r="117" customFormat="false" ht="17.15" hidden="false" customHeight="false" outlineLevel="0" collapsed="false">
      <c r="A117" s="7" t="n">
        <v>116</v>
      </c>
      <c r="B117" s="5" t="s">
        <v>334</v>
      </c>
      <c r="C117" s="5" t="s">
        <v>115</v>
      </c>
      <c r="D117" s="5" t="s">
        <v>116</v>
      </c>
      <c r="E117" s="6" t="s">
        <v>56</v>
      </c>
      <c r="F117" s="7" t="s">
        <v>32</v>
      </c>
      <c r="G117" s="7" t="s">
        <v>368</v>
      </c>
      <c r="H117" s="7"/>
      <c r="I117" s="7"/>
      <c r="J117" s="7" t="n">
        <v>33.3</v>
      </c>
      <c r="K117" s="7" t="n">
        <v>42.9</v>
      </c>
      <c r="L117" s="7" t="n">
        <v>57.1</v>
      </c>
      <c r="M117" s="7" t="n">
        <v>80</v>
      </c>
      <c r="N117" s="7" t="n">
        <v>80</v>
      </c>
      <c r="O117" s="7" t="s">
        <v>369</v>
      </c>
      <c r="P117" s="5" t="s">
        <v>95</v>
      </c>
      <c r="Q117" s="7" t="n">
        <v>293.3</v>
      </c>
      <c r="R117" s="5" t="s">
        <v>370</v>
      </c>
      <c r="S117" s="7"/>
    </row>
    <row r="118" customFormat="false" ht="13.8" hidden="false" customHeight="false" outlineLevel="0" collapsed="false">
      <c r="A118" s="0" t="n">
        <v>117</v>
      </c>
      <c r="B118" s="8" t="s">
        <v>334</v>
      </c>
      <c r="C118" s="8" t="s">
        <v>120</v>
      </c>
      <c r="D118" s="8" t="s">
        <v>109</v>
      </c>
      <c r="E118" s="8" t="s">
        <v>31</v>
      </c>
      <c r="F118" s="8" t="s">
        <v>371</v>
      </c>
      <c r="I118" s="0" t="n">
        <v>100</v>
      </c>
      <c r="J118" s="0" t="n">
        <v>47.1</v>
      </c>
      <c r="K118" s="0" t="n">
        <v>100</v>
      </c>
      <c r="L118" s="0" t="n">
        <v>0</v>
      </c>
      <c r="M118" s="0" t="n">
        <v>80</v>
      </c>
      <c r="N118" s="0" t="n">
        <v>100</v>
      </c>
      <c r="O118" s="8" t="s">
        <v>372</v>
      </c>
      <c r="R118" s="8" t="s">
        <v>373</v>
      </c>
    </row>
    <row r="119" customFormat="false" ht="13.8" hidden="false" customHeight="false" outlineLevel="0" collapsed="false">
      <c r="A119" s="0" t="n">
        <v>118</v>
      </c>
      <c r="B119" s="8" t="s">
        <v>334</v>
      </c>
      <c r="C119" s="8" t="s">
        <v>124</v>
      </c>
      <c r="D119" s="8" t="s">
        <v>125</v>
      </c>
      <c r="E119" s="8" t="s">
        <v>31</v>
      </c>
      <c r="F119" s="8" t="s">
        <v>59</v>
      </c>
      <c r="I119" s="0" t="n">
        <v>93.3</v>
      </c>
      <c r="J119" s="0" t="n">
        <v>85.7</v>
      </c>
      <c r="K119" s="0" t="n">
        <v>93.3</v>
      </c>
      <c r="L119" s="0" t="n">
        <v>100</v>
      </c>
      <c r="M119" s="0" t="n">
        <v>0</v>
      </c>
      <c r="N119" s="0" t="n">
        <v>0</v>
      </c>
      <c r="O119" s="8" t="s">
        <v>374</v>
      </c>
      <c r="R119" s="8" t="s">
        <v>375</v>
      </c>
    </row>
    <row r="120" customFormat="false" ht="13.8" hidden="false" customHeight="false" outlineLevel="0" collapsed="false">
      <c r="A120" s="0" t="n">
        <v>119</v>
      </c>
      <c r="B120" s="8" t="s">
        <v>334</v>
      </c>
      <c r="C120" s="8" t="s">
        <v>129</v>
      </c>
      <c r="D120" s="8" t="s">
        <v>89</v>
      </c>
      <c r="E120" s="8" t="s">
        <v>31</v>
      </c>
      <c r="F120" s="8" t="s">
        <v>169</v>
      </c>
      <c r="I120" s="0" t="n">
        <v>100</v>
      </c>
      <c r="J120" s="0" t="n">
        <v>86.7</v>
      </c>
      <c r="K120" s="0" t="n">
        <v>33.3</v>
      </c>
      <c r="L120" s="0" t="n">
        <v>100</v>
      </c>
      <c r="M120" s="0" t="n">
        <v>0</v>
      </c>
      <c r="N120" s="0" t="n">
        <v>100</v>
      </c>
      <c r="O120" s="8" t="s">
        <v>376</v>
      </c>
      <c r="R120" s="8" t="s">
        <v>377</v>
      </c>
    </row>
    <row r="121" customFormat="false" ht="13.8" hidden="false" customHeight="false" outlineLevel="0" collapsed="false">
      <c r="A121" s="0" t="n">
        <v>120</v>
      </c>
      <c r="B121" s="8" t="s">
        <v>334</v>
      </c>
      <c r="C121" s="8" t="s">
        <v>133</v>
      </c>
      <c r="D121" s="8" t="s">
        <v>134</v>
      </c>
      <c r="E121" s="8" t="s">
        <v>31</v>
      </c>
      <c r="F121" s="8" t="s">
        <v>51</v>
      </c>
      <c r="I121" s="0" t="n">
        <v>100</v>
      </c>
      <c r="J121" s="0" t="n">
        <v>75</v>
      </c>
      <c r="K121" s="0" t="n">
        <v>28.6</v>
      </c>
      <c r="L121" s="0" t="n">
        <v>0</v>
      </c>
      <c r="M121" s="0" t="n">
        <v>0</v>
      </c>
      <c r="N121" s="0" t="n">
        <v>100</v>
      </c>
      <c r="O121" s="8" t="s">
        <v>378</v>
      </c>
      <c r="R121" s="8" t="s">
        <v>379</v>
      </c>
    </row>
    <row r="122" customFormat="false" ht="17.15" hidden="false" customHeight="false" outlineLevel="0" collapsed="false">
      <c r="A122" s="7" t="n">
        <v>121</v>
      </c>
      <c r="B122" s="5" t="s">
        <v>334</v>
      </c>
      <c r="C122" s="5" t="s">
        <v>138</v>
      </c>
      <c r="D122" s="5" t="s">
        <v>139</v>
      </c>
      <c r="E122" s="6" t="s">
        <v>31</v>
      </c>
      <c r="F122" s="7" t="s">
        <v>32</v>
      </c>
      <c r="G122" s="7" t="s">
        <v>380</v>
      </c>
      <c r="H122" s="7" t="n">
        <v>343.3</v>
      </c>
      <c r="I122" s="7"/>
      <c r="J122" s="7" t="n">
        <v>62.5</v>
      </c>
      <c r="K122" s="7" t="n">
        <v>33.3</v>
      </c>
      <c r="L122" s="7" t="n">
        <v>87.5</v>
      </c>
      <c r="M122" s="7" t="n">
        <v>80</v>
      </c>
      <c r="N122" s="7" t="n">
        <v>80</v>
      </c>
      <c r="O122" s="7" t="s">
        <v>369</v>
      </c>
      <c r="P122" s="5" t="s">
        <v>95</v>
      </c>
      <c r="Q122" s="7" t="n">
        <v>343.3</v>
      </c>
      <c r="R122" s="5" t="s">
        <v>381</v>
      </c>
      <c r="S122" s="7"/>
    </row>
    <row r="123" customFormat="false" ht="13.8" hidden="false" customHeight="false" outlineLevel="0" collapsed="false">
      <c r="A123" s="0" t="n">
        <v>122</v>
      </c>
      <c r="B123" s="8" t="s">
        <v>334</v>
      </c>
      <c r="C123" s="8" t="s">
        <v>143</v>
      </c>
      <c r="D123" s="8" t="s">
        <v>144</v>
      </c>
      <c r="E123" s="8" t="s">
        <v>31</v>
      </c>
      <c r="F123" s="8" t="s">
        <v>64</v>
      </c>
      <c r="I123" s="0" t="n">
        <v>100</v>
      </c>
      <c r="J123" s="0" t="n">
        <v>100</v>
      </c>
      <c r="K123" s="0" t="n">
        <v>70.6</v>
      </c>
      <c r="L123" s="0" t="n">
        <v>14.3</v>
      </c>
      <c r="M123" s="0" t="n">
        <v>0</v>
      </c>
      <c r="N123" s="0" t="n">
        <v>100</v>
      </c>
      <c r="O123" s="8" t="s">
        <v>382</v>
      </c>
      <c r="R123" s="8" t="s">
        <v>383</v>
      </c>
    </row>
    <row r="124" customFormat="false" ht="13.8" hidden="false" customHeight="false" outlineLevel="0" collapsed="false">
      <c r="A124" s="0" t="n">
        <v>123</v>
      </c>
      <c r="B124" s="8" t="s">
        <v>334</v>
      </c>
      <c r="C124" s="8" t="s">
        <v>148</v>
      </c>
      <c r="D124" s="8" t="s">
        <v>73</v>
      </c>
      <c r="E124" s="8" t="s">
        <v>31</v>
      </c>
      <c r="F124" s="8" t="s">
        <v>117</v>
      </c>
      <c r="I124" s="0" t="n">
        <v>88.9</v>
      </c>
      <c r="J124" s="0" t="n">
        <v>88.9</v>
      </c>
      <c r="K124" s="0" t="n">
        <v>54.5</v>
      </c>
      <c r="L124" s="0" t="n">
        <v>0</v>
      </c>
      <c r="M124" s="0" t="n">
        <v>0</v>
      </c>
      <c r="N124" s="0" t="n">
        <v>0</v>
      </c>
      <c r="O124" s="8" t="s">
        <v>384</v>
      </c>
      <c r="R124" s="8" t="s">
        <v>385</v>
      </c>
    </row>
    <row r="125" customFormat="false" ht="17.15" hidden="false" customHeight="false" outlineLevel="0" collapsed="false">
      <c r="A125" s="7" t="n">
        <v>124</v>
      </c>
      <c r="B125" s="5" t="s">
        <v>334</v>
      </c>
      <c r="C125" s="5" t="s">
        <v>152</v>
      </c>
      <c r="D125" s="5" t="s">
        <v>153</v>
      </c>
      <c r="E125" s="6" t="s">
        <v>56</v>
      </c>
      <c r="F125" s="7" t="s">
        <v>32</v>
      </c>
      <c r="G125" s="7" t="s">
        <v>386</v>
      </c>
      <c r="H125" s="7"/>
      <c r="I125" s="7"/>
      <c r="J125" s="7" t="n">
        <v>81.8</v>
      </c>
      <c r="K125" s="7" t="n">
        <v>50</v>
      </c>
      <c r="L125" s="7" t="n">
        <v>100</v>
      </c>
      <c r="M125" s="7" t="n">
        <v>0</v>
      </c>
      <c r="N125" s="7" t="n">
        <v>0</v>
      </c>
      <c r="O125" s="7" t="s">
        <v>369</v>
      </c>
      <c r="P125" s="5" t="s">
        <v>95</v>
      </c>
      <c r="Q125" s="7" t="n">
        <v>231.8</v>
      </c>
      <c r="R125" s="5" t="s">
        <v>387</v>
      </c>
      <c r="S125" s="7"/>
    </row>
    <row r="126" customFormat="false" ht="13.8" hidden="false" customHeight="false" outlineLevel="0" collapsed="false">
      <c r="A126" s="0" t="n">
        <v>125</v>
      </c>
      <c r="B126" s="8" t="s">
        <v>334</v>
      </c>
      <c r="C126" s="8" t="s">
        <v>159</v>
      </c>
      <c r="D126" s="8" t="s">
        <v>160</v>
      </c>
      <c r="E126" s="8" t="s">
        <v>31</v>
      </c>
      <c r="F126" s="8" t="s">
        <v>69</v>
      </c>
      <c r="I126" s="0" t="n">
        <v>100</v>
      </c>
      <c r="J126" s="0" t="n">
        <v>85.7</v>
      </c>
      <c r="K126" s="0" t="n">
        <v>93.3</v>
      </c>
      <c r="L126" s="0" t="n">
        <v>100</v>
      </c>
      <c r="M126" s="0" t="n">
        <v>100</v>
      </c>
      <c r="N126" s="0" t="n">
        <v>0</v>
      </c>
      <c r="O126" s="8" t="s">
        <v>347</v>
      </c>
      <c r="R126" s="8" t="s">
        <v>388</v>
      </c>
    </row>
    <row r="127" customFormat="false" ht="13.8" hidden="false" customHeight="false" outlineLevel="0" collapsed="false">
      <c r="A127" s="0" t="n">
        <v>126</v>
      </c>
      <c r="B127" s="8" t="s">
        <v>334</v>
      </c>
      <c r="C127" s="8" t="s">
        <v>164</v>
      </c>
      <c r="D127" s="8" t="s">
        <v>30</v>
      </c>
      <c r="E127" s="8" t="s">
        <v>31</v>
      </c>
      <c r="F127" s="8" t="s">
        <v>178</v>
      </c>
      <c r="I127" s="0" t="n">
        <v>80</v>
      </c>
      <c r="J127" s="0" t="n">
        <v>50</v>
      </c>
      <c r="K127" s="0" t="n">
        <v>61.5</v>
      </c>
      <c r="L127" s="0" t="n">
        <v>100</v>
      </c>
      <c r="M127" s="0" t="n">
        <v>0</v>
      </c>
      <c r="N127" s="0" t="n">
        <v>80</v>
      </c>
      <c r="O127" s="8" t="s">
        <v>389</v>
      </c>
      <c r="R127" s="8" t="s">
        <v>390</v>
      </c>
    </row>
    <row r="128" customFormat="false" ht="13.8" hidden="false" customHeight="false" outlineLevel="0" collapsed="false">
      <c r="A128" s="0" t="n">
        <v>127</v>
      </c>
      <c r="B128" s="8" t="s">
        <v>334</v>
      </c>
      <c r="C128" s="8" t="s">
        <v>168</v>
      </c>
      <c r="D128" s="8" t="s">
        <v>109</v>
      </c>
      <c r="E128" s="8" t="s">
        <v>31</v>
      </c>
      <c r="F128" s="8" t="s">
        <v>156</v>
      </c>
      <c r="I128" s="0" t="n">
        <v>100</v>
      </c>
      <c r="J128" s="0" t="n">
        <v>47.6</v>
      </c>
      <c r="K128" s="0" t="n">
        <v>100</v>
      </c>
      <c r="L128" s="0" t="n">
        <v>0</v>
      </c>
      <c r="M128" s="0" t="n">
        <v>0</v>
      </c>
      <c r="N128" s="0" t="n">
        <v>100</v>
      </c>
      <c r="O128" s="8" t="s">
        <v>391</v>
      </c>
      <c r="R128" s="8" t="s">
        <v>392</v>
      </c>
    </row>
    <row r="129" customFormat="false" ht="13.8" hidden="false" customHeight="false" outlineLevel="0" collapsed="false">
      <c r="A129" s="0" t="n">
        <v>128</v>
      </c>
      <c r="B129" s="8" t="s">
        <v>334</v>
      </c>
      <c r="C129" s="8" t="s">
        <v>172</v>
      </c>
      <c r="D129" s="8" t="s">
        <v>173</v>
      </c>
      <c r="E129" s="8" t="s">
        <v>31</v>
      </c>
      <c r="F129" s="8" t="s">
        <v>149</v>
      </c>
      <c r="I129" s="0" t="n">
        <v>100</v>
      </c>
      <c r="J129" s="0" t="n">
        <v>100</v>
      </c>
      <c r="K129" s="0" t="n">
        <v>100</v>
      </c>
      <c r="L129" s="0" t="n">
        <v>40</v>
      </c>
      <c r="M129" s="0" t="n">
        <v>0</v>
      </c>
      <c r="N129" s="0" t="n">
        <v>0</v>
      </c>
      <c r="O129" s="8" t="s">
        <v>393</v>
      </c>
      <c r="R129" s="8" t="s">
        <v>394</v>
      </c>
    </row>
    <row r="130" customFormat="false" ht="17.15" hidden="false" customHeight="false" outlineLevel="0" collapsed="false">
      <c r="A130" s="0" t="n">
        <v>129</v>
      </c>
      <c r="B130" s="8" t="s">
        <v>334</v>
      </c>
      <c r="C130" s="8" t="s">
        <v>177</v>
      </c>
      <c r="D130" s="8" t="s">
        <v>86</v>
      </c>
      <c r="E130" s="8" t="s">
        <v>31</v>
      </c>
      <c r="F130" s="8" t="s">
        <v>174</v>
      </c>
      <c r="I130" s="0" t="n">
        <v>80</v>
      </c>
      <c r="J130" s="0" t="n">
        <v>80</v>
      </c>
      <c r="K130" s="0" t="n">
        <v>80</v>
      </c>
      <c r="L130" s="0" t="n">
        <v>93.3</v>
      </c>
      <c r="M130" s="0" t="n">
        <v>80</v>
      </c>
      <c r="N130" s="0" t="n">
        <v>80</v>
      </c>
      <c r="O130" s="8" t="s">
        <v>395</v>
      </c>
      <c r="R130" s="8" t="s">
        <v>396</v>
      </c>
    </row>
    <row r="131" customFormat="false" ht="13.8" hidden="false" customHeight="false" outlineLevel="0" collapsed="false">
      <c r="A131" s="0" t="n">
        <v>130</v>
      </c>
      <c r="B131" s="8" t="s">
        <v>334</v>
      </c>
      <c r="C131" s="8" t="s">
        <v>181</v>
      </c>
      <c r="D131" s="8" t="s">
        <v>182</v>
      </c>
      <c r="E131" s="8" t="s">
        <v>31</v>
      </c>
      <c r="F131" s="8" t="s">
        <v>100</v>
      </c>
      <c r="I131" s="0" t="n">
        <v>100</v>
      </c>
      <c r="J131" s="0" t="n">
        <v>100</v>
      </c>
      <c r="K131" s="0" t="n">
        <v>100</v>
      </c>
      <c r="L131" s="0" t="n">
        <v>62.5</v>
      </c>
      <c r="M131" s="0" t="n">
        <v>0</v>
      </c>
      <c r="N131" s="0" t="n">
        <v>0</v>
      </c>
      <c r="O131" s="8" t="s">
        <v>397</v>
      </c>
      <c r="R131" s="8" t="s">
        <v>398</v>
      </c>
    </row>
    <row r="132" customFormat="false" ht="13.8" hidden="false" customHeight="false" outlineLevel="0" collapsed="false">
      <c r="A132" s="0" t="n">
        <v>131</v>
      </c>
      <c r="B132" s="8" t="s">
        <v>334</v>
      </c>
      <c r="C132" s="8" t="s">
        <v>187</v>
      </c>
      <c r="D132" s="8" t="s">
        <v>188</v>
      </c>
      <c r="E132" s="8" t="s">
        <v>31</v>
      </c>
      <c r="F132" s="8" t="s">
        <v>130</v>
      </c>
      <c r="I132" s="0" t="n">
        <v>80</v>
      </c>
      <c r="J132" s="0" t="n">
        <v>57.1</v>
      </c>
      <c r="K132" s="0" t="n">
        <v>100</v>
      </c>
      <c r="L132" s="0" t="n">
        <v>0</v>
      </c>
      <c r="M132" s="0" t="n">
        <v>80</v>
      </c>
      <c r="N132" s="0" t="n">
        <v>80</v>
      </c>
      <c r="O132" s="8" t="s">
        <v>399</v>
      </c>
      <c r="R132" s="8" t="s">
        <v>400</v>
      </c>
    </row>
    <row r="133" customFormat="false" ht="17.15" hidden="false" customHeight="false" outlineLevel="0" collapsed="false">
      <c r="A133" s="7" t="n">
        <v>132</v>
      </c>
      <c r="B133" s="5" t="s">
        <v>334</v>
      </c>
      <c r="C133" s="5" t="s">
        <v>191</v>
      </c>
      <c r="D133" s="5" t="s">
        <v>73</v>
      </c>
      <c r="E133" s="6" t="s">
        <v>56</v>
      </c>
      <c r="F133" s="7" t="s">
        <v>32</v>
      </c>
      <c r="G133" s="7" t="s">
        <v>401</v>
      </c>
      <c r="H133" s="7" t="n">
        <v>272.3</v>
      </c>
      <c r="I133" s="7"/>
      <c r="J133" s="7" t="n">
        <v>31.6</v>
      </c>
      <c r="K133" s="7" t="n">
        <v>18.2</v>
      </c>
      <c r="L133" s="7" t="n">
        <v>62.5</v>
      </c>
      <c r="M133" s="7" t="n">
        <v>80</v>
      </c>
      <c r="N133" s="7" t="n">
        <v>80</v>
      </c>
      <c r="O133" s="5" t="s">
        <v>402</v>
      </c>
      <c r="P133" s="5" t="s">
        <v>121</v>
      </c>
      <c r="Q133" s="7" t="n">
        <v>272.3</v>
      </c>
      <c r="R133" s="5" t="s">
        <v>403</v>
      </c>
      <c r="S133" s="7"/>
    </row>
    <row r="134" customFormat="false" ht="13.8" hidden="false" customHeight="false" outlineLevel="0" collapsed="false">
      <c r="A134" s="0" t="n">
        <v>133</v>
      </c>
      <c r="B134" s="8" t="s">
        <v>404</v>
      </c>
      <c r="C134" s="8" t="s">
        <v>29</v>
      </c>
      <c r="D134" s="8" t="s">
        <v>30</v>
      </c>
      <c r="E134" s="8" t="s">
        <v>31</v>
      </c>
      <c r="F134" s="8" t="s">
        <v>105</v>
      </c>
      <c r="I134" s="0" t="n">
        <v>80</v>
      </c>
      <c r="J134" s="0" t="n">
        <v>50</v>
      </c>
      <c r="K134" s="0" t="n">
        <v>61.5</v>
      </c>
      <c r="L134" s="0" t="n">
        <v>87.5</v>
      </c>
      <c r="M134" s="0" t="n">
        <v>0</v>
      </c>
      <c r="N134" s="0" t="n">
        <v>80</v>
      </c>
      <c r="O134" s="8" t="s">
        <v>405</v>
      </c>
      <c r="R134" s="8" t="s">
        <v>406</v>
      </c>
    </row>
    <row r="135" customFormat="false" ht="13.8" hidden="false" customHeight="false" outlineLevel="0" collapsed="false">
      <c r="A135" s="0" t="n">
        <v>134</v>
      </c>
      <c r="B135" s="8" t="s">
        <v>404</v>
      </c>
      <c r="C135" s="8" t="s">
        <v>37</v>
      </c>
      <c r="D135" s="8" t="s">
        <v>38</v>
      </c>
      <c r="E135" s="8" t="s">
        <v>31</v>
      </c>
      <c r="F135" s="8" t="s">
        <v>149</v>
      </c>
      <c r="I135" s="0" t="n">
        <v>100</v>
      </c>
      <c r="J135" s="0" t="n">
        <v>41.7</v>
      </c>
      <c r="K135" s="0" t="n">
        <v>100</v>
      </c>
      <c r="L135" s="0" t="n">
        <v>0</v>
      </c>
      <c r="M135" s="0" t="n">
        <v>80</v>
      </c>
      <c r="N135" s="0" t="n">
        <v>100</v>
      </c>
      <c r="O135" s="8" t="s">
        <v>407</v>
      </c>
      <c r="R135" s="8" t="s">
        <v>408</v>
      </c>
    </row>
    <row r="136" customFormat="false" ht="13.8" hidden="false" customHeight="false" outlineLevel="0" collapsed="false">
      <c r="A136" s="0" t="n">
        <v>135</v>
      </c>
      <c r="B136" s="8" t="s">
        <v>404</v>
      </c>
      <c r="C136" s="8" t="s">
        <v>43</v>
      </c>
      <c r="D136" s="8" t="s">
        <v>44</v>
      </c>
      <c r="E136" s="8" t="s">
        <v>31</v>
      </c>
      <c r="F136" s="8" t="s">
        <v>178</v>
      </c>
      <c r="I136" s="0" t="n">
        <v>100</v>
      </c>
      <c r="J136" s="0" t="n">
        <v>100</v>
      </c>
      <c r="K136" s="0" t="n">
        <v>88.9</v>
      </c>
      <c r="L136" s="0" t="n">
        <v>0</v>
      </c>
      <c r="M136" s="0" t="n">
        <v>0</v>
      </c>
      <c r="N136" s="0" t="n">
        <v>0</v>
      </c>
      <c r="O136" s="8" t="s">
        <v>409</v>
      </c>
      <c r="R136" s="8" t="s">
        <v>410</v>
      </c>
    </row>
    <row r="137" customFormat="false" ht="13.8" hidden="false" customHeight="false" outlineLevel="0" collapsed="false">
      <c r="A137" s="0" t="n">
        <v>136</v>
      </c>
      <c r="B137" s="8" t="s">
        <v>404</v>
      </c>
      <c r="C137" s="8" t="s">
        <v>49</v>
      </c>
      <c r="D137" s="8" t="s">
        <v>50</v>
      </c>
      <c r="E137" s="8" t="s">
        <v>31</v>
      </c>
      <c r="F137" s="8" t="s">
        <v>169</v>
      </c>
      <c r="I137" s="0" t="n">
        <v>100</v>
      </c>
      <c r="J137" s="0" t="n">
        <v>100</v>
      </c>
      <c r="K137" s="0" t="n">
        <v>100</v>
      </c>
      <c r="L137" s="0" t="n">
        <v>62.5</v>
      </c>
      <c r="M137" s="0" t="n">
        <v>100</v>
      </c>
      <c r="N137" s="0" t="n">
        <v>0</v>
      </c>
      <c r="O137" s="8" t="s">
        <v>411</v>
      </c>
      <c r="R137" s="8" t="s">
        <v>412</v>
      </c>
    </row>
    <row r="138" customFormat="false" ht="17.15" hidden="false" customHeight="false" outlineLevel="0" collapsed="false">
      <c r="A138" s="7" t="n">
        <v>137</v>
      </c>
      <c r="B138" s="5" t="s">
        <v>404</v>
      </c>
      <c r="C138" s="5" t="s">
        <v>54</v>
      </c>
      <c r="D138" s="5" t="s">
        <v>55</v>
      </c>
      <c r="E138" s="6" t="s">
        <v>56</v>
      </c>
      <c r="F138" s="7" t="s">
        <v>32</v>
      </c>
      <c r="G138" s="7" t="s">
        <v>413</v>
      </c>
      <c r="H138" s="7" t="n">
        <v>169.3</v>
      </c>
      <c r="I138" s="7"/>
      <c r="J138" s="7" t="n">
        <v>47.1</v>
      </c>
      <c r="K138" s="7" t="n">
        <v>22.2</v>
      </c>
      <c r="L138" s="7" t="n">
        <v>100</v>
      </c>
      <c r="M138" s="7" t="n">
        <v>0</v>
      </c>
      <c r="N138" s="7" t="n">
        <v>0</v>
      </c>
      <c r="O138" s="5" t="s">
        <v>414</v>
      </c>
      <c r="P138" s="5" t="s">
        <v>95</v>
      </c>
      <c r="Q138" s="7" t="n">
        <v>169.3</v>
      </c>
      <c r="R138" s="5" t="s">
        <v>415</v>
      </c>
      <c r="S138" s="7"/>
    </row>
    <row r="139" customFormat="false" ht="17.15" hidden="false" customHeight="false" outlineLevel="0" collapsed="false">
      <c r="A139" s="0" t="n">
        <v>138</v>
      </c>
      <c r="B139" s="8" t="s">
        <v>404</v>
      </c>
      <c r="C139" s="8" t="s">
        <v>62</v>
      </c>
      <c r="D139" s="8" t="s">
        <v>63</v>
      </c>
      <c r="E139" s="8" t="s">
        <v>31</v>
      </c>
      <c r="F139" s="8" t="s">
        <v>135</v>
      </c>
      <c r="I139" s="0" t="n">
        <v>100</v>
      </c>
      <c r="J139" s="0" t="n">
        <v>100</v>
      </c>
      <c r="K139" s="0" t="n">
        <v>93.3</v>
      </c>
      <c r="L139" s="0" t="n">
        <v>75</v>
      </c>
      <c r="M139" s="0" t="n">
        <v>0</v>
      </c>
      <c r="N139" s="0" t="n">
        <v>0</v>
      </c>
      <c r="O139" s="0" t="s">
        <v>416</v>
      </c>
      <c r="R139" s="8" t="s">
        <v>417</v>
      </c>
    </row>
    <row r="140" customFormat="false" ht="15" hidden="false" customHeight="false" outlineLevel="0" collapsed="false">
      <c r="A140" s="7" t="n">
        <v>139</v>
      </c>
      <c r="B140" s="5" t="s">
        <v>404</v>
      </c>
      <c r="C140" s="5" t="s">
        <v>67</v>
      </c>
      <c r="D140" s="5" t="s">
        <v>68</v>
      </c>
      <c r="E140" s="6" t="s">
        <v>31</v>
      </c>
      <c r="F140" s="7" t="s">
        <v>32</v>
      </c>
      <c r="G140" s="7" t="s">
        <v>278</v>
      </c>
      <c r="H140" s="7" t="n">
        <v>0</v>
      </c>
      <c r="I140" s="7"/>
      <c r="J140" s="7" t="n">
        <v>0</v>
      </c>
      <c r="K140" s="7" t="n">
        <v>0</v>
      </c>
      <c r="L140" s="7" t="n">
        <v>0</v>
      </c>
      <c r="M140" s="7" t="n">
        <v>0</v>
      </c>
      <c r="N140" s="7" t="n">
        <v>0</v>
      </c>
      <c r="O140" s="7"/>
      <c r="P140" s="5" t="s">
        <v>41</v>
      </c>
      <c r="Q140" s="7" t="n">
        <v>0</v>
      </c>
      <c r="R140" s="5" t="s">
        <v>418</v>
      </c>
      <c r="S140" s="7"/>
    </row>
    <row r="141" customFormat="false" ht="17.15" hidden="false" customHeight="false" outlineLevel="0" collapsed="false">
      <c r="A141" s="7" t="n">
        <v>140</v>
      </c>
      <c r="B141" s="5" t="s">
        <v>404</v>
      </c>
      <c r="C141" s="5" t="s">
        <v>72</v>
      </c>
      <c r="D141" s="5" t="s">
        <v>73</v>
      </c>
      <c r="E141" s="6" t="s">
        <v>56</v>
      </c>
      <c r="F141" s="7" t="s">
        <v>32</v>
      </c>
      <c r="G141" s="7" t="s">
        <v>419</v>
      </c>
      <c r="H141" s="7" t="n">
        <v>278.8</v>
      </c>
      <c r="I141" s="7"/>
      <c r="J141" s="7" t="n">
        <v>53.3</v>
      </c>
      <c r="K141" s="7" t="n">
        <v>45.5</v>
      </c>
      <c r="L141" s="7" t="n">
        <v>100</v>
      </c>
      <c r="M141" s="7" t="n">
        <v>0</v>
      </c>
      <c r="N141" s="7" t="n">
        <v>80</v>
      </c>
      <c r="O141" s="5" t="s">
        <v>420</v>
      </c>
      <c r="P141" s="5" t="s">
        <v>69</v>
      </c>
      <c r="Q141" s="7" t="n">
        <v>278.8</v>
      </c>
      <c r="R141" s="5" t="s">
        <v>421</v>
      </c>
      <c r="S141" s="7"/>
    </row>
    <row r="142" customFormat="false" ht="15" hidden="false" customHeight="false" outlineLevel="0" collapsed="false">
      <c r="A142" s="0" t="n">
        <v>141</v>
      </c>
      <c r="B142" s="8" t="s">
        <v>404</v>
      </c>
      <c r="C142" s="8" t="s">
        <v>79</v>
      </c>
      <c r="D142" s="8" t="s">
        <v>30</v>
      </c>
      <c r="E142" s="8" t="s">
        <v>31</v>
      </c>
      <c r="F142" s="8" t="s">
        <v>130</v>
      </c>
      <c r="I142" s="0" t="n">
        <v>80</v>
      </c>
      <c r="J142" s="0" t="n">
        <v>40</v>
      </c>
      <c r="K142" s="0" t="n">
        <v>61.5</v>
      </c>
      <c r="L142" s="0" t="n">
        <v>100</v>
      </c>
      <c r="M142" s="0" t="n">
        <v>0</v>
      </c>
      <c r="N142" s="0" t="n">
        <v>80</v>
      </c>
      <c r="O142" s="8" t="s">
        <v>422</v>
      </c>
      <c r="R142" s="8" t="s">
        <v>423</v>
      </c>
    </row>
    <row r="143" customFormat="false" ht="17.15" hidden="false" customHeight="false" outlineLevel="0" collapsed="false">
      <c r="A143" s="7" t="n">
        <v>142</v>
      </c>
      <c r="B143" s="5" t="s">
        <v>404</v>
      </c>
      <c r="C143" s="5" t="s">
        <v>85</v>
      </c>
      <c r="D143" s="5" t="s">
        <v>86</v>
      </c>
      <c r="E143" s="6" t="s">
        <v>31</v>
      </c>
      <c r="F143" s="7" t="s">
        <v>32</v>
      </c>
      <c r="G143" s="7" t="s">
        <v>424</v>
      </c>
      <c r="H143" s="7" t="n">
        <v>316.7</v>
      </c>
      <c r="I143" s="7"/>
      <c r="J143" s="7" t="n">
        <v>50</v>
      </c>
      <c r="K143" s="7" t="n">
        <v>35.3</v>
      </c>
      <c r="L143" s="7" t="n">
        <v>71.4</v>
      </c>
      <c r="M143" s="7" t="n">
        <v>80</v>
      </c>
      <c r="N143" s="7" t="n">
        <v>80</v>
      </c>
      <c r="O143" s="5" t="s">
        <v>425</v>
      </c>
      <c r="P143" s="5" t="s">
        <v>161</v>
      </c>
      <c r="Q143" s="7" t="n">
        <v>316.7</v>
      </c>
      <c r="R143" s="5" t="s">
        <v>426</v>
      </c>
      <c r="S143" s="7"/>
    </row>
    <row r="144" customFormat="false" ht="17.15" hidden="false" customHeight="false" outlineLevel="0" collapsed="false">
      <c r="A144" s="7" t="n">
        <v>143</v>
      </c>
      <c r="B144" s="5" t="s">
        <v>404</v>
      </c>
      <c r="C144" s="5" t="s">
        <v>88</v>
      </c>
      <c r="D144" s="5" t="s">
        <v>89</v>
      </c>
      <c r="E144" s="6" t="s">
        <v>56</v>
      </c>
      <c r="F144" s="7" t="s">
        <v>32</v>
      </c>
      <c r="G144" s="7" t="s">
        <v>427</v>
      </c>
      <c r="H144" s="7" t="n">
        <v>231.4</v>
      </c>
      <c r="I144" s="7"/>
      <c r="J144" s="7" t="n">
        <v>48</v>
      </c>
      <c r="K144" s="7" t="n">
        <v>36.4</v>
      </c>
      <c r="L144" s="7" t="n">
        <v>47.1</v>
      </c>
      <c r="M144" s="7" t="n">
        <v>0</v>
      </c>
      <c r="N144" s="7" t="n">
        <v>100</v>
      </c>
      <c r="O144" s="5" t="s">
        <v>428</v>
      </c>
      <c r="P144" s="5" t="s">
        <v>156</v>
      </c>
      <c r="Q144" s="7" t="n">
        <v>231.4</v>
      </c>
      <c r="R144" s="5" t="s">
        <v>429</v>
      </c>
      <c r="S144" s="7"/>
    </row>
    <row r="145" customFormat="false" ht="15" hidden="false" customHeight="false" outlineLevel="0" collapsed="false">
      <c r="A145" s="0" t="n">
        <v>144</v>
      </c>
      <c r="B145" s="8" t="s">
        <v>404</v>
      </c>
      <c r="C145" s="8" t="s">
        <v>91</v>
      </c>
      <c r="D145" s="8" t="s">
        <v>92</v>
      </c>
      <c r="E145" s="8" t="s">
        <v>31</v>
      </c>
      <c r="F145" s="8" t="s">
        <v>35</v>
      </c>
      <c r="I145" s="0" t="n">
        <v>100</v>
      </c>
      <c r="J145" s="0" t="n">
        <v>42.9</v>
      </c>
      <c r="K145" s="0" t="n">
        <v>100</v>
      </c>
      <c r="L145" s="0" t="n">
        <v>57.1</v>
      </c>
      <c r="M145" s="0" t="n">
        <v>0</v>
      </c>
      <c r="N145" s="0" t="n">
        <v>0</v>
      </c>
      <c r="O145" s="8" t="s">
        <v>292</v>
      </c>
      <c r="R145" s="8" t="s">
        <v>430</v>
      </c>
    </row>
    <row r="146" customFormat="false" ht="17.15" hidden="false" customHeight="false" outlineLevel="0" collapsed="false">
      <c r="A146" s="7" t="n">
        <v>145</v>
      </c>
      <c r="B146" s="5" t="s">
        <v>404</v>
      </c>
      <c r="C146" s="5" t="s">
        <v>98</v>
      </c>
      <c r="D146" s="5" t="s">
        <v>99</v>
      </c>
      <c r="E146" s="6" t="s">
        <v>56</v>
      </c>
      <c r="F146" s="7" t="s">
        <v>32</v>
      </c>
      <c r="G146" s="7" t="s">
        <v>431</v>
      </c>
      <c r="H146" s="7"/>
      <c r="I146" s="7"/>
      <c r="J146" s="7" t="n">
        <v>40</v>
      </c>
      <c r="K146" s="7" t="n">
        <v>33.3</v>
      </c>
      <c r="L146" s="7" t="n">
        <v>0</v>
      </c>
      <c r="M146" s="7" t="n">
        <v>0</v>
      </c>
      <c r="N146" s="7" t="n">
        <v>80</v>
      </c>
      <c r="O146" s="5" t="s">
        <v>409</v>
      </c>
      <c r="P146" s="5" t="s">
        <v>178</v>
      </c>
      <c r="Q146" s="7" t="n">
        <v>153.3</v>
      </c>
      <c r="R146" s="5" t="s">
        <v>432</v>
      </c>
      <c r="S146" s="7"/>
    </row>
    <row r="147" customFormat="false" ht="13.8" hidden="false" customHeight="false" outlineLevel="0" collapsed="false">
      <c r="A147" s="0" t="n">
        <v>146</v>
      </c>
      <c r="B147" s="8" t="s">
        <v>404</v>
      </c>
      <c r="C147" s="8" t="s">
        <v>103</v>
      </c>
      <c r="D147" s="8" t="s">
        <v>104</v>
      </c>
      <c r="E147" s="8" t="s">
        <v>31</v>
      </c>
      <c r="F147" s="8" t="s">
        <v>47</v>
      </c>
      <c r="I147" s="0" t="n">
        <v>100</v>
      </c>
      <c r="J147" s="0" t="n">
        <v>53.3</v>
      </c>
      <c r="K147" s="0" t="n">
        <v>77.8</v>
      </c>
      <c r="L147" s="0" t="n">
        <v>0</v>
      </c>
      <c r="M147" s="0" t="n">
        <v>80</v>
      </c>
      <c r="N147" s="0" t="n">
        <v>100</v>
      </c>
      <c r="O147" s="8" t="s">
        <v>433</v>
      </c>
      <c r="R147" s="8" t="s">
        <v>434</v>
      </c>
    </row>
    <row r="148" customFormat="false" ht="13.8" hidden="false" customHeight="false" outlineLevel="0" collapsed="false">
      <c r="A148" s="0" t="n">
        <v>147</v>
      </c>
      <c r="B148" s="8" t="s">
        <v>404</v>
      </c>
      <c r="C148" s="8" t="s">
        <v>108</v>
      </c>
      <c r="D148" s="8" t="s">
        <v>109</v>
      </c>
      <c r="E148" s="8" t="s">
        <v>31</v>
      </c>
      <c r="F148" s="8" t="s">
        <v>174</v>
      </c>
      <c r="I148" s="0" t="n">
        <v>100</v>
      </c>
      <c r="J148" s="0" t="n">
        <v>47.6</v>
      </c>
      <c r="K148" s="0" t="n">
        <v>100</v>
      </c>
      <c r="L148" s="0" t="n">
        <v>0</v>
      </c>
      <c r="M148" s="0" t="n">
        <v>100</v>
      </c>
      <c r="N148" s="0" t="n">
        <v>100</v>
      </c>
      <c r="O148" s="8" t="s">
        <v>435</v>
      </c>
      <c r="R148" s="8" t="s">
        <v>436</v>
      </c>
    </row>
    <row r="149" customFormat="false" ht="13.8" hidden="false" customHeight="false" outlineLevel="0" collapsed="false">
      <c r="A149" s="0" t="n">
        <v>148</v>
      </c>
      <c r="B149" s="8" t="s">
        <v>404</v>
      </c>
      <c r="C149" s="8" t="s">
        <v>113</v>
      </c>
      <c r="D149" s="8" t="s">
        <v>50</v>
      </c>
      <c r="E149" s="8" t="s">
        <v>31</v>
      </c>
      <c r="F149" s="8" t="s">
        <v>126</v>
      </c>
      <c r="I149" s="0" t="n">
        <v>100</v>
      </c>
      <c r="J149" s="0" t="n">
        <v>100</v>
      </c>
      <c r="K149" s="0" t="n">
        <v>100</v>
      </c>
      <c r="L149" s="0" t="n">
        <v>100</v>
      </c>
      <c r="M149" s="0" t="n">
        <v>100</v>
      </c>
      <c r="N149" s="0" t="n">
        <v>80</v>
      </c>
      <c r="O149" s="8" t="s">
        <v>437</v>
      </c>
      <c r="R149" s="8" t="s">
        <v>438</v>
      </c>
    </row>
    <row r="150" customFormat="false" ht="17.15" hidden="false" customHeight="false" outlineLevel="0" collapsed="false">
      <c r="A150" s="7" t="n">
        <v>149</v>
      </c>
      <c r="B150" s="5" t="s">
        <v>404</v>
      </c>
      <c r="C150" s="5" t="s">
        <v>115</v>
      </c>
      <c r="D150" s="5" t="s">
        <v>116</v>
      </c>
      <c r="E150" s="6" t="s">
        <v>56</v>
      </c>
      <c r="F150" s="7" t="s">
        <v>32</v>
      </c>
      <c r="G150" s="7" t="s">
        <v>439</v>
      </c>
      <c r="H150" s="7"/>
      <c r="I150" s="7"/>
      <c r="J150" s="7" t="n">
        <v>44.4</v>
      </c>
      <c r="K150" s="7" t="n">
        <v>55.6</v>
      </c>
      <c r="L150" s="7" t="n">
        <v>71.4</v>
      </c>
      <c r="M150" s="7" t="n">
        <v>100</v>
      </c>
      <c r="N150" s="7" t="n">
        <v>0</v>
      </c>
      <c r="O150" s="5" t="s">
        <v>437</v>
      </c>
      <c r="P150" s="5" t="s">
        <v>126</v>
      </c>
      <c r="Q150" s="7" t="n">
        <v>271.4</v>
      </c>
      <c r="R150" s="5" t="s">
        <v>440</v>
      </c>
      <c r="S150" s="7"/>
    </row>
    <row r="151" customFormat="false" ht="13.8" hidden="false" customHeight="false" outlineLevel="0" collapsed="false">
      <c r="A151" s="0" t="n">
        <v>150</v>
      </c>
      <c r="B151" s="8" t="s">
        <v>404</v>
      </c>
      <c r="C151" s="8" t="s">
        <v>120</v>
      </c>
      <c r="D151" s="8" t="s">
        <v>109</v>
      </c>
      <c r="E151" s="8" t="s">
        <v>31</v>
      </c>
      <c r="F151" s="8" t="s">
        <v>100</v>
      </c>
      <c r="I151" s="0" t="n">
        <v>100</v>
      </c>
      <c r="J151" s="0" t="n">
        <v>50</v>
      </c>
      <c r="K151" s="0" t="n">
        <v>100</v>
      </c>
      <c r="L151" s="0" t="n">
        <v>0</v>
      </c>
      <c r="M151" s="0" t="n">
        <v>100</v>
      </c>
      <c r="N151" s="0" t="n">
        <v>100</v>
      </c>
      <c r="O151" s="8" t="s">
        <v>441</v>
      </c>
      <c r="R151" s="8" t="s">
        <v>442</v>
      </c>
    </row>
    <row r="152" customFormat="false" ht="13.8" hidden="false" customHeight="false" outlineLevel="0" collapsed="false">
      <c r="A152" s="0" t="n">
        <v>151</v>
      </c>
      <c r="B152" s="8" t="s">
        <v>404</v>
      </c>
      <c r="C152" s="8" t="s">
        <v>124</v>
      </c>
      <c r="D152" s="8" t="s">
        <v>125</v>
      </c>
      <c r="E152" s="8" t="s">
        <v>31</v>
      </c>
      <c r="F152" s="8" t="s">
        <v>51</v>
      </c>
      <c r="I152" s="0" t="n">
        <v>80</v>
      </c>
      <c r="J152" s="0" t="n">
        <v>57.1</v>
      </c>
      <c r="K152" s="0" t="n">
        <v>96.6</v>
      </c>
      <c r="L152" s="0" t="n">
        <v>100</v>
      </c>
      <c r="M152" s="0" t="n">
        <v>80</v>
      </c>
      <c r="N152" s="0" t="n">
        <v>0</v>
      </c>
      <c r="O152" s="8" t="s">
        <v>443</v>
      </c>
      <c r="R152" s="8" t="s">
        <v>444</v>
      </c>
    </row>
    <row r="153" customFormat="false" ht="17.15" hidden="false" customHeight="false" outlineLevel="0" collapsed="false">
      <c r="A153" s="7" t="n">
        <v>152</v>
      </c>
      <c r="B153" s="5" t="s">
        <v>404</v>
      </c>
      <c r="C153" s="5" t="s">
        <v>129</v>
      </c>
      <c r="D153" s="5" t="s">
        <v>89</v>
      </c>
      <c r="E153" s="6" t="s">
        <v>56</v>
      </c>
      <c r="F153" s="7" t="s">
        <v>32</v>
      </c>
      <c r="G153" s="7" t="s">
        <v>445</v>
      </c>
      <c r="H153" s="7"/>
      <c r="I153" s="7"/>
      <c r="J153" s="7" t="n">
        <v>48</v>
      </c>
      <c r="K153" s="7" t="n">
        <v>36.4</v>
      </c>
      <c r="L153" s="7" t="n">
        <v>47.1</v>
      </c>
      <c r="M153" s="7" t="n">
        <v>0</v>
      </c>
      <c r="N153" s="7" t="n">
        <v>100</v>
      </c>
      <c r="O153" s="5" t="s">
        <v>428</v>
      </c>
      <c r="P153" s="5" t="s">
        <v>156</v>
      </c>
      <c r="Q153" s="7" t="n">
        <v>231.4</v>
      </c>
      <c r="R153" s="5" t="s">
        <v>446</v>
      </c>
      <c r="S153" s="7"/>
    </row>
    <row r="154" customFormat="false" ht="13.8" hidden="false" customHeight="false" outlineLevel="0" collapsed="false">
      <c r="A154" s="0" t="n">
        <v>153</v>
      </c>
      <c r="B154" s="8" t="s">
        <v>404</v>
      </c>
      <c r="C154" s="8" t="s">
        <v>133</v>
      </c>
      <c r="D154" s="8" t="s">
        <v>134</v>
      </c>
      <c r="E154" s="8" t="s">
        <v>31</v>
      </c>
      <c r="F154" s="8" t="s">
        <v>145</v>
      </c>
      <c r="I154" s="0" t="n">
        <v>100</v>
      </c>
      <c r="J154" s="0" t="n">
        <v>71.4</v>
      </c>
      <c r="K154" s="0" t="n">
        <v>71.9</v>
      </c>
      <c r="L154" s="0" t="n">
        <v>0</v>
      </c>
      <c r="M154" s="0" t="n">
        <v>100</v>
      </c>
      <c r="N154" s="0" t="n">
        <v>100</v>
      </c>
      <c r="O154" s="8" t="s">
        <v>447</v>
      </c>
      <c r="R154" s="8" t="s">
        <v>448</v>
      </c>
    </row>
    <row r="155" customFormat="false" ht="13.8" hidden="false" customHeight="false" outlineLevel="0" collapsed="false">
      <c r="A155" s="0" t="n">
        <v>154</v>
      </c>
      <c r="B155" s="8" t="s">
        <v>404</v>
      </c>
      <c r="C155" s="8" t="s">
        <v>138</v>
      </c>
      <c r="D155" s="8" t="s">
        <v>139</v>
      </c>
      <c r="E155" s="8" t="s">
        <v>31</v>
      </c>
      <c r="F155" s="8" t="s">
        <v>82</v>
      </c>
      <c r="I155" s="0" t="n">
        <v>80</v>
      </c>
      <c r="J155" s="0" t="n">
        <v>100</v>
      </c>
      <c r="K155" s="0" t="n">
        <v>100</v>
      </c>
      <c r="L155" s="0" t="n">
        <v>0</v>
      </c>
      <c r="M155" s="0" t="n">
        <v>0</v>
      </c>
      <c r="N155" s="0" t="n">
        <v>80</v>
      </c>
      <c r="O155" s="8" t="s">
        <v>449</v>
      </c>
      <c r="R155" s="8" t="s">
        <v>450</v>
      </c>
    </row>
    <row r="156" customFormat="false" ht="13.8" hidden="false" customHeight="false" outlineLevel="0" collapsed="false">
      <c r="A156" s="0" t="n">
        <v>155</v>
      </c>
      <c r="B156" s="8" t="s">
        <v>404</v>
      </c>
      <c r="C156" s="8" t="s">
        <v>143</v>
      </c>
      <c r="D156" s="8" t="s">
        <v>144</v>
      </c>
      <c r="E156" s="8" t="s">
        <v>31</v>
      </c>
      <c r="F156" s="8" t="s">
        <v>76</v>
      </c>
      <c r="I156" s="0" t="n">
        <v>100</v>
      </c>
      <c r="J156" s="0" t="n">
        <v>90</v>
      </c>
      <c r="K156" s="0" t="n">
        <v>77.8</v>
      </c>
      <c r="L156" s="0" t="n">
        <v>14.3</v>
      </c>
      <c r="M156" s="0" t="n">
        <v>80</v>
      </c>
      <c r="N156" s="0" t="n">
        <v>100</v>
      </c>
      <c r="O156" s="8" t="s">
        <v>451</v>
      </c>
      <c r="R156" s="8" t="s">
        <v>452</v>
      </c>
    </row>
    <row r="157" customFormat="false" ht="17.15" hidden="false" customHeight="false" outlineLevel="0" collapsed="false">
      <c r="A157" s="7" t="n">
        <v>156</v>
      </c>
      <c r="B157" s="5" t="s">
        <v>404</v>
      </c>
      <c r="C157" s="5" t="s">
        <v>148</v>
      </c>
      <c r="D157" s="5" t="s">
        <v>73</v>
      </c>
      <c r="E157" s="6" t="s">
        <v>56</v>
      </c>
      <c r="F157" s="7" t="s">
        <v>32</v>
      </c>
      <c r="G157" s="7" t="s">
        <v>313</v>
      </c>
      <c r="H157" s="7" t="n">
        <v>82.9</v>
      </c>
      <c r="I157" s="7"/>
      <c r="J157" s="7" t="n">
        <v>40</v>
      </c>
      <c r="K157" s="7" t="n">
        <v>42.9</v>
      </c>
      <c r="L157" s="7" t="n">
        <v>0</v>
      </c>
      <c r="M157" s="7" t="n">
        <v>0</v>
      </c>
      <c r="N157" s="7" t="n">
        <v>0</v>
      </c>
      <c r="O157" s="5" t="s">
        <v>314</v>
      </c>
      <c r="P157" s="5" t="s">
        <v>165</v>
      </c>
      <c r="Q157" s="7" t="n">
        <v>82.9</v>
      </c>
      <c r="R157" s="5" t="s">
        <v>453</v>
      </c>
      <c r="S157" s="7"/>
    </row>
    <row r="158" customFormat="false" ht="17.15" hidden="false" customHeight="false" outlineLevel="0" collapsed="false">
      <c r="A158" s="7" t="n">
        <v>157</v>
      </c>
      <c r="B158" s="5" t="s">
        <v>404</v>
      </c>
      <c r="C158" s="5" t="s">
        <v>152</v>
      </c>
      <c r="D158" s="5" t="s">
        <v>153</v>
      </c>
      <c r="E158" s="6" t="s">
        <v>31</v>
      </c>
      <c r="F158" s="7" t="s">
        <v>32</v>
      </c>
      <c r="G158" s="7" t="s">
        <v>454</v>
      </c>
      <c r="H158" s="7"/>
      <c r="I158" s="7"/>
      <c r="J158" s="7" t="n">
        <v>47.1</v>
      </c>
      <c r="K158" s="7" t="n">
        <v>50</v>
      </c>
      <c r="L158" s="7" t="n">
        <v>62.5</v>
      </c>
      <c r="M158" s="7" t="n">
        <v>100</v>
      </c>
      <c r="N158" s="7" t="n">
        <v>0</v>
      </c>
      <c r="O158" s="5" t="s">
        <v>411</v>
      </c>
      <c r="P158" s="5" t="s">
        <v>169</v>
      </c>
      <c r="Q158" s="7" t="n">
        <v>259.6</v>
      </c>
      <c r="R158" s="5" t="s">
        <v>455</v>
      </c>
      <c r="S158" s="7"/>
    </row>
    <row r="159" customFormat="false" ht="15" hidden="false" customHeight="false" outlineLevel="0" collapsed="false">
      <c r="A159" s="0" t="n">
        <v>158</v>
      </c>
      <c r="B159" s="8" t="s">
        <v>404</v>
      </c>
      <c r="C159" s="8" t="s">
        <v>159</v>
      </c>
      <c r="D159" s="8" t="s">
        <v>160</v>
      </c>
      <c r="E159" s="8" t="s">
        <v>31</v>
      </c>
      <c r="F159" s="8" t="s">
        <v>185</v>
      </c>
      <c r="I159" s="0" t="n">
        <v>80</v>
      </c>
      <c r="J159" s="0" t="n">
        <v>85.7</v>
      </c>
      <c r="K159" s="0" t="n">
        <v>93.3</v>
      </c>
      <c r="L159" s="0" t="n">
        <v>100</v>
      </c>
      <c r="M159" s="0" t="n">
        <v>80</v>
      </c>
      <c r="N159" s="0" t="n">
        <v>0</v>
      </c>
      <c r="O159" s="8" t="s">
        <v>456</v>
      </c>
      <c r="R159" s="8" t="s">
        <v>457</v>
      </c>
    </row>
    <row r="160" customFormat="false" ht="17.15" hidden="false" customHeight="false" outlineLevel="0" collapsed="false">
      <c r="A160" s="7" t="n">
        <v>159</v>
      </c>
      <c r="B160" s="5" t="s">
        <v>404</v>
      </c>
      <c r="C160" s="5" t="s">
        <v>164</v>
      </c>
      <c r="D160" s="5" t="s">
        <v>30</v>
      </c>
      <c r="E160" s="6" t="s">
        <v>56</v>
      </c>
      <c r="F160" s="7" t="s">
        <v>32</v>
      </c>
      <c r="G160" s="7" t="s">
        <v>458</v>
      </c>
      <c r="H160" s="7"/>
      <c r="I160" s="7"/>
      <c r="J160" s="7" t="n">
        <v>50</v>
      </c>
      <c r="K160" s="7" t="n">
        <v>61.5</v>
      </c>
      <c r="L160" s="7" t="n">
        <v>62.5</v>
      </c>
      <c r="M160" s="7" t="n">
        <v>0</v>
      </c>
      <c r="N160" s="7" t="n">
        <v>80</v>
      </c>
      <c r="O160" s="5" t="s">
        <v>422</v>
      </c>
      <c r="P160" s="5" t="s">
        <v>130</v>
      </c>
      <c r="Q160" s="7" t="n">
        <v>254</v>
      </c>
      <c r="R160" s="5" t="s">
        <v>459</v>
      </c>
      <c r="S160" s="7"/>
    </row>
    <row r="161" customFormat="false" ht="17.15" hidden="false" customHeight="false" outlineLevel="0" collapsed="false">
      <c r="A161" s="7" t="n">
        <v>160</v>
      </c>
      <c r="B161" s="5" t="s">
        <v>404</v>
      </c>
      <c r="C161" s="5" t="s">
        <v>168</v>
      </c>
      <c r="D161" s="5" t="s">
        <v>109</v>
      </c>
      <c r="E161" s="6" t="s">
        <v>31</v>
      </c>
      <c r="F161" s="7" t="s">
        <v>32</v>
      </c>
      <c r="G161" s="7" t="s">
        <v>460</v>
      </c>
      <c r="H161" s="7" t="n">
        <v>213</v>
      </c>
      <c r="I161" s="7"/>
      <c r="J161" s="7" t="n">
        <v>45.5</v>
      </c>
      <c r="K161" s="7" t="n">
        <v>50</v>
      </c>
      <c r="L161" s="7" t="n">
        <v>37.5</v>
      </c>
      <c r="M161" s="7" t="n">
        <v>0</v>
      </c>
      <c r="N161" s="7" t="n">
        <v>80</v>
      </c>
      <c r="O161" s="5" t="s">
        <v>461</v>
      </c>
      <c r="P161" s="5" t="s">
        <v>117</v>
      </c>
      <c r="Q161" s="7" t="n">
        <v>213</v>
      </c>
      <c r="R161" s="5" t="s">
        <v>462</v>
      </c>
      <c r="S161" s="7"/>
    </row>
    <row r="162" customFormat="false" ht="13.8" hidden="false" customHeight="false" outlineLevel="0" collapsed="false">
      <c r="A162" s="0" t="n">
        <v>161</v>
      </c>
      <c r="B162" s="8" t="s">
        <v>404</v>
      </c>
      <c r="C162" s="8" t="s">
        <v>172</v>
      </c>
      <c r="D162" s="8" t="s">
        <v>173</v>
      </c>
      <c r="E162" s="8" t="s">
        <v>31</v>
      </c>
      <c r="F162" s="8" t="s">
        <v>110</v>
      </c>
      <c r="I162" s="0" t="n">
        <v>100</v>
      </c>
      <c r="J162" s="0" t="n">
        <v>100</v>
      </c>
      <c r="K162" s="0" t="n">
        <v>100</v>
      </c>
      <c r="L162" s="0" t="n">
        <v>100</v>
      </c>
      <c r="M162" s="0" t="n">
        <v>100</v>
      </c>
      <c r="N162" s="0" t="n">
        <v>0</v>
      </c>
      <c r="O162" s="8" t="s">
        <v>463</v>
      </c>
      <c r="R162" s="8" t="s">
        <v>464</v>
      </c>
    </row>
    <row r="163" customFormat="false" ht="13.8" hidden="false" customHeight="false" outlineLevel="0" collapsed="false">
      <c r="A163" s="0" t="n">
        <v>162</v>
      </c>
      <c r="B163" s="8" t="s">
        <v>404</v>
      </c>
      <c r="C163" s="8" t="s">
        <v>177</v>
      </c>
      <c r="D163" s="8" t="s">
        <v>86</v>
      </c>
      <c r="E163" s="8" t="s">
        <v>31</v>
      </c>
      <c r="F163" s="8" t="s">
        <v>121</v>
      </c>
      <c r="I163" s="0" t="n">
        <v>80</v>
      </c>
      <c r="J163" s="0" t="n">
        <v>100</v>
      </c>
      <c r="K163" s="0" t="n">
        <v>33.3</v>
      </c>
      <c r="L163" s="0" t="n">
        <v>93.3</v>
      </c>
      <c r="M163" s="0" t="n">
        <v>80</v>
      </c>
      <c r="N163" s="0" t="n">
        <v>0</v>
      </c>
      <c r="O163" s="8" t="s">
        <v>465</v>
      </c>
      <c r="R163" s="8" t="s">
        <v>466</v>
      </c>
    </row>
    <row r="164" customFormat="false" ht="13.8" hidden="false" customHeight="false" outlineLevel="0" collapsed="false">
      <c r="A164" s="0" t="n">
        <v>163</v>
      </c>
      <c r="B164" s="8" t="s">
        <v>404</v>
      </c>
      <c r="C164" s="8" t="s">
        <v>181</v>
      </c>
      <c r="D164" s="8" t="s">
        <v>182</v>
      </c>
      <c r="E164" s="8" t="s">
        <v>31</v>
      </c>
      <c r="F164" s="8" t="s">
        <v>59</v>
      </c>
      <c r="I164" s="0" t="n">
        <v>80</v>
      </c>
      <c r="J164" s="0" t="n">
        <v>100</v>
      </c>
      <c r="K164" s="0" t="n">
        <v>100</v>
      </c>
      <c r="L164" s="0" t="n">
        <v>62.5</v>
      </c>
      <c r="M164" s="0" t="n">
        <v>80</v>
      </c>
      <c r="N164" s="0" t="n">
        <v>80</v>
      </c>
      <c r="O164" s="8" t="s">
        <v>467</v>
      </c>
      <c r="R164" s="8" t="s">
        <v>468</v>
      </c>
    </row>
    <row r="165" customFormat="false" ht="13.8" hidden="false" customHeight="false" outlineLevel="0" collapsed="false">
      <c r="A165" s="0" t="n">
        <v>164</v>
      </c>
      <c r="B165" s="8" t="s">
        <v>404</v>
      </c>
      <c r="C165" s="8" t="s">
        <v>187</v>
      </c>
      <c r="D165" s="8" t="s">
        <v>188</v>
      </c>
      <c r="E165" s="8" t="s">
        <v>31</v>
      </c>
      <c r="F165" s="8" t="s">
        <v>64</v>
      </c>
      <c r="I165" s="0" t="n">
        <v>80</v>
      </c>
      <c r="J165" s="0" t="n">
        <v>57.1</v>
      </c>
      <c r="K165" s="0" t="n">
        <v>90.9</v>
      </c>
      <c r="L165" s="0" t="n">
        <v>0</v>
      </c>
      <c r="M165" s="0" t="n">
        <v>0</v>
      </c>
      <c r="N165" s="0" t="n">
        <v>80</v>
      </c>
      <c r="O165" s="8" t="s">
        <v>469</v>
      </c>
      <c r="R165" s="8" t="s">
        <v>470</v>
      </c>
    </row>
    <row r="166" customFormat="false" ht="17.15" hidden="false" customHeight="false" outlineLevel="0" collapsed="false">
      <c r="A166" s="7" t="n">
        <v>165</v>
      </c>
      <c r="B166" s="5" t="s">
        <v>404</v>
      </c>
      <c r="C166" s="5" t="s">
        <v>191</v>
      </c>
      <c r="D166" s="5" t="s">
        <v>73</v>
      </c>
      <c r="E166" s="6" t="s">
        <v>56</v>
      </c>
      <c r="F166" s="7" t="s">
        <v>32</v>
      </c>
      <c r="G166" s="7" t="s">
        <v>471</v>
      </c>
      <c r="H166" s="7"/>
      <c r="I166" s="7"/>
      <c r="J166" s="7" t="n">
        <v>31.6</v>
      </c>
      <c r="K166" s="7" t="n">
        <v>36.4</v>
      </c>
      <c r="L166" s="7" t="n">
        <v>75</v>
      </c>
      <c r="M166" s="7" t="n">
        <v>0</v>
      </c>
      <c r="N166" s="7" t="n">
        <v>80</v>
      </c>
      <c r="O166" s="5" t="s">
        <v>443</v>
      </c>
      <c r="P166" s="5" t="s">
        <v>51</v>
      </c>
      <c r="Q166" s="7" t="n">
        <v>222.9</v>
      </c>
      <c r="R166" s="5" t="s">
        <v>472</v>
      </c>
      <c r="S166" s="7"/>
    </row>
  </sheetData>
  <dataValidations count="1">
    <dataValidation allowBlank="true" errorStyle="stop" operator="between" showDropDown="false" showErrorMessage="false" showInputMessage="false" sqref="E2:E166" type="list">
      <formula1>"T,F"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2026-10-01T03:07:01Z</dcterms:created>
  <dc:creator>openpyxl</dc:creator>
  <dc:description/>
  <dc:language>ja-JP</dc:language>
  <cp:lastModifiedBy/>
  <dcterms:modified xsi:type="dcterms:W3CDTF">2026-10-01T13:25:52Z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