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  <sheet xmlns:r="http://schemas.openxmlformats.org/officeDocument/2006/relationships" name="対応付け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内訳</t>
        </is>
      </c>
    </row>
    <row r="2">
      <c r="A2" t="inlineStr">
        <is>
          <t>総件数</t>
        </is>
      </c>
      <c r="B2">
        <f>(COUNTA('対応付け結果'!C:C)-1)</f>
        <v/>
      </c>
      <c r="C2" t="inlineStr"/>
    </row>
    <row r="3">
      <c r="A3" t="inlineStr">
        <is>
          <t>対応付け率(目視確認T)</t>
        </is>
      </c>
      <c r="B3" s="2">
        <f>COUNTIF('対応付け結果'!E:E,"T")/(COUNTA('対応付け結果'!C:C)-1)</f>
        <v/>
      </c>
      <c r="C3">
        <f>COUNTIF('対応付け結果'!E:E,"T")&amp;"/"&amp;(COUNTA('対応付け結果'!C:C)-1)</f>
        <v/>
      </c>
    </row>
    <row r="4">
      <c r="A4" t="inlineStr">
        <is>
          <t>誤対応付け率(目視確認F)</t>
        </is>
      </c>
      <c r="B4" s="2">
        <f>COUNTIF('対応付け結果'!E:E,"F")/(COUNTA('対応付け結果'!C:C)-1)</f>
        <v/>
      </c>
      <c r="C4">
        <f>COUNTIF('対応付け結果'!E:E,"F")&amp;"/"&amp;(COUNTA('対応付け結果'!C:C)-1)</f>
        <v/>
      </c>
    </row>
    <row r="5">
      <c r="A5" t="inlineStr">
        <is>
          <t>該当なし率(対応付け結果)</t>
        </is>
      </c>
      <c r="B5" s="2">
        <f>COUNTIF('対応付け結果'!F:F,"該当なし")/(COUNTA('対応付け結果'!C:C)-1)</f>
        <v/>
      </c>
      <c r="C5">
        <f>COUNTIF('対応付け結果'!F:F,"該当なし")&amp;"/"&amp;(COUNTA('対応付け結果'!C:C)-1)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6" customWidth="1" min="14" max="14"/>
    <col width="30" customWidth="1" min="15" max="15"/>
    <col width="24" customWidth="1" min="16" max="16"/>
  </cols>
  <sheetData>
    <row r="1">
      <c r="A1" s="3" t="inlineStr">
        <is>
          <t>認識した順番</t>
        </is>
      </c>
      <c r="B1" s="3" t="inlineStr">
        <is>
          <t>画像</t>
        </is>
      </c>
      <c r="C1" s="3" t="inlineStr">
        <is>
          <t>query(book_name)</t>
        </is>
      </c>
      <c r="D1" s="3" t="inlineStr">
        <is>
          <t>display_name</t>
        </is>
      </c>
      <c r="E1" s="3" t="inlineStr">
        <is>
          <t>目視確認(T/F)</t>
        </is>
      </c>
      <c r="F1" s="3" t="inlineStr">
        <is>
          <t>対応付け結果</t>
        </is>
      </c>
      <c r="G1" s="3" t="inlineStr">
        <is>
          <t>スコア(合計)</t>
        </is>
      </c>
      <c r="H1" s="3" t="inlineStr">
        <is>
          <t>勝ったキー</t>
        </is>
      </c>
      <c r="I1" s="3" t="inlineStr">
        <is>
          <t>REFスコア</t>
        </is>
      </c>
      <c r="J1" s="3" t="inlineStr">
        <is>
          <t>display_nameスコア</t>
        </is>
      </c>
      <c r="K1" s="3" t="inlineStr">
        <is>
          <t>日付スコア</t>
        </is>
      </c>
      <c r="L1" s="3" t="inlineStr">
        <is>
          <t>spec_1スコア</t>
        </is>
      </c>
      <c r="M1" s="3" t="inlineStr">
        <is>
          <t>spec_2スコア</t>
        </is>
      </c>
      <c r="N1" s="3" t="inlineStr">
        <is>
          <t>識別確信度(confident)</t>
        </is>
      </c>
      <c r="O1" s="3" t="inlineStr">
        <is>
          <t>画像ファイル名</t>
        </is>
      </c>
      <c r="P1" s="3" t="inlineStr">
        <is>
          <t>メモ</t>
        </is>
      </c>
    </row>
    <row r="2">
      <c r="A2" s="4" t="n">
        <v>1</v>
      </c>
      <c r="B2" s="4" t="inlineStr">
        <is>
          <t>1</t>
        </is>
      </c>
      <c r="C2" s="4" t="inlineStr">
        <is>
          <t>10CSW02020</t>
        </is>
      </c>
      <c r="D2" s="4" t="inlineStr">
        <is>
          <t>Wallaby Avenir Coil System</t>
        </is>
      </c>
      <c r="E2" s="4" t="inlineStr"/>
      <c r="F2" s="4" t="inlineStr">
        <is>
          <t>該当なし</t>
        </is>
      </c>
      <c r="G2" s="4" t="n"/>
      <c r="H2" s="4" t="inlineStr"/>
      <c r="I2" s="4" t="n"/>
      <c r="J2" s="4" t="n"/>
      <c r="K2" s="4" t="n"/>
      <c r="L2" s="4" t="n"/>
      <c r="M2" s="4" t="n"/>
      <c r="N2" s="4" t="inlineStr"/>
      <c r="O2" s="4" t="inlineStr">
        <is>
          <t>1-1-10CSW02020.png</t>
        </is>
      </c>
      <c r="P2" s="4" t="inlineStr"/>
    </row>
    <row r="3">
      <c r="A3" t="n">
        <v>2</v>
      </c>
      <c r="B3" t="inlineStr">
        <is>
          <t>1</t>
        </is>
      </c>
      <c r="C3" t="inlineStr">
        <is>
          <t>AIN-CKI-200R</t>
        </is>
      </c>
      <c r="D3" t="inlineStr">
        <is>
          <t>CHIKAI</t>
        </is>
      </c>
      <c r="E3" t="inlineStr"/>
      <c r="F3" t="inlineStr">
        <is>
          <t>mask_20</t>
        </is>
      </c>
      <c r="G3" t="n">
        <v>100</v>
      </c>
      <c r="H3" t="inlineStr">
        <is>
          <t>spec_2</t>
        </is>
      </c>
      <c r="I3" t="n">
        <v>41.7</v>
      </c>
      <c r="J3" t="n">
        <v>100</v>
      </c>
      <c r="K3" t="n">
        <v>0</v>
      </c>
      <c r="L3" t="n">
        <v>0</v>
      </c>
      <c r="M3" t="n">
        <v>100</v>
      </c>
      <c r="N3" t="inlineStr"/>
      <c r="O3" t="inlineStr">
        <is>
          <t>1-2-AIN-CKI-200R.png</t>
        </is>
      </c>
      <c r="P3" t="inlineStr"/>
    </row>
    <row r="4">
      <c r="A4" s="4" t="n">
        <v>3</v>
      </c>
      <c r="B4" s="4" t="inlineStr">
        <is>
          <t>1</t>
        </is>
      </c>
      <c r="C4" s="4" t="inlineStr">
        <is>
          <t>MONORAIL</t>
        </is>
      </c>
      <c r="D4" s="4" t="inlineStr">
        <is>
          <t>Coyote ES</t>
        </is>
      </c>
      <c r="E4" s="4" t="inlineStr"/>
      <c r="F4" s="4" t="inlineStr">
        <is>
          <t>該当なし</t>
        </is>
      </c>
      <c r="G4" s="4" t="n"/>
      <c r="H4" s="4" t="inlineStr"/>
      <c r="I4" s="4" t="n"/>
      <c r="J4" s="4" t="n"/>
      <c r="K4" s="4" t="n"/>
      <c r="L4" s="4" t="n"/>
      <c r="M4" s="4" t="n"/>
      <c r="N4" s="4" t="inlineStr"/>
      <c r="O4" s="4" t="inlineStr">
        <is>
          <t>1-3-MONORAIL.png</t>
        </is>
      </c>
      <c r="P4" s="4" t="inlineStr"/>
    </row>
    <row r="5">
      <c r="A5" t="n">
        <v>4</v>
      </c>
      <c r="B5" t="inlineStr">
        <is>
          <t>1</t>
        </is>
      </c>
      <c r="C5" t="inlineStr">
        <is>
          <t>ESC0407</t>
        </is>
      </c>
      <c r="D5" t="inlineStr">
        <is>
          <t>TransForm</t>
        </is>
      </c>
      <c r="E5" t="inlineStr"/>
      <c r="F5" t="inlineStr">
        <is>
          <t>mask_3</t>
        </is>
      </c>
      <c r="G5" t="n">
        <v>100</v>
      </c>
      <c r="H5" t="inlineStr">
        <is>
          <t>display_name</t>
        </is>
      </c>
      <c r="I5" t="n">
        <v>100</v>
      </c>
      <c r="J5" t="n">
        <v>100</v>
      </c>
      <c r="K5" t="n">
        <v>62.5</v>
      </c>
      <c r="L5" t="n">
        <v>0</v>
      </c>
      <c r="M5" t="n">
        <v>0</v>
      </c>
      <c r="N5" t="inlineStr"/>
      <c r="O5" t="inlineStr">
        <is>
          <t>1-4-ESC0407.png</t>
        </is>
      </c>
      <c r="P5" t="inlineStr"/>
    </row>
    <row r="6">
      <c r="A6" s="4" t="n">
        <v>5</v>
      </c>
      <c r="B6" s="4" t="inlineStr">
        <is>
          <t>1</t>
        </is>
      </c>
      <c r="C6" s="4" t="inlineStr">
        <is>
          <t>MAT-110-110</t>
        </is>
      </c>
      <c r="D6" s="4" t="inlineStr">
        <is>
          <t>Riptide Large Bore Aspiration Tubing</t>
        </is>
      </c>
      <c r="E6" s="4" t="inlineStr"/>
      <c r="F6" s="4" t="inlineStr">
        <is>
          <t>該当なし</t>
        </is>
      </c>
      <c r="G6" s="4" t="n"/>
      <c r="H6" s="4" t="inlineStr"/>
      <c r="I6" s="4" t="n"/>
      <c r="J6" s="4" t="n"/>
      <c r="K6" s="4" t="n"/>
      <c r="L6" s="4" t="n"/>
      <c r="M6" s="4" t="n"/>
      <c r="N6" s="4" t="inlineStr"/>
      <c r="O6" s="4" t="inlineStr">
        <is>
          <t>1-5-MAT-110-110.png</t>
        </is>
      </c>
      <c r="P6" s="4" t="inlineStr"/>
    </row>
    <row r="7">
      <c r="A7" t="n">
        <v>6</v>
      </c>
      <c r="B7" t="inlineStr">
        <is>
          <t>1</t>
        </is>
      </c>
      <c r="C7" t="inlineStr">
        <is>
          <t>XT275081</t>
        </is>
      </c>
      <c r="D7" t="inlineStr">
        <is>
          <t>Excelsior XT-27</t>
        </is>
      </c>
      <c r="E7" t="inlineStr"/>
      <c r="F7" t="inlineStr">
        <is>
          <t>mask_1</t>
        </is>
      </c>
      <c r="G7" t="n">
        <v>100</v>
      </c>
      <c r="H7" t="inlineStr">
        <is>
          <t>ref</t>
        </is>
      </c>
      <c r="I7" t="n">
        <v>100</v>
      </c>
      <c r="J7" t="n">
        <v>93.3</v>
      </c>
      <c r="K7" t="n">
        <v>75</v>
      </c>
      <c r="L7" t="n">
        <v>0</v>
      </c>
      <c r="M7" t="n">
        <v>0</v>
      </c>
      <c r="N7" t="inlineStr"/>
      <c r="O7" t="inlineStr">
        <is>
          <t>1-6-XT275081.png</t>
        </is>
      </c>
      <c r="P7" t="inlineStr"/>
    </row>
    <row r="8">
      <c r="A8" t="n">
        <v>7</v>
      </c>
      <c r="B8" t="inlineStr">
        <is>
          <t>1</t>
        </is>
      </c>
      <c r="C8" t="inlineStr">
        <is>
          <t>OPTI0408CSS10</t>
        </is>
      </c>
      <c r="D8" t="inlineStr">
        <is>
          <t>OPTIMA</t>
        </is>
      </c>
      <c r="E8" t="inlineStr"/>
      <c r="F8" t="inlineStr">
        <is>
          <t>mask_16</t>
        </is>
      </c>
      <c r="G8" t="n">
        <v>100</v>
      </c>
      <c r="H8" t="inlineStr">
        <is>
          <t>spec_1</t>
        </is>
      </c>
      <c r="I8" t="n">
        <v>47.6</v>
      </c>
      <c r="J8" t="n">
        <v>100</v>
      </c>
      <c r="K8" t="n">
        <v>0</v>
      </c>
      <c r="L8" t="n">
        <v>100</v>
      </c>
      <c r="M8" t="n">
        <v>100</v>
      </c>
      <c r="N8" t="inlineStr"/>
      <c r="O8" t="inlineStr">
        <is>
          <t>1-7-OPTI0408CSS10.png</t>
        </is>
      </c>
      <c r="P8" t="inlineStr"/>
    </row>
    <row r="9">
      <c r="A9" t="n">
        <v>8</v>
      </c>
      <c r="B9" t="inlineStr">
        <is>
          <t>1</t>
        </is>
      </c>
      <c r="C9" t="inlineStr">
        <is>
          <t>ESC0305</t>
        </is>
      </c>
      <c r="D9" t="inlineStr">
        <is>
          <t>TransForm</t>
        </is>
      </c>
      <c r="E9" t="inlineStr"/>
      <c r="F9" t="inlineStr">
        <is>
          <t>mask_5</t>
        </is>
      </c>
      <c r="G9" t="n">
        <v>100</v>
      </c>
      <c r="H9" t="inlineStr">
        <is>
          <t>spec_1</t>
        </is>
      </c>
      <c r="I9" t="n">
        <v>100</v>
      </c>
      <c r="J9" t="n">
        <v>100</v>
      </c>
      <c r="K9" t="n">
        <v>100</v>
      </c>
      <c r="L9" t="n">
        <v>100</v>
      </c>
      <c r="M9" t="n">
        <v>80</v>
      </c>
      <c r="N9" t="inlineStr"/>
      <c r="O9" t="inlineStr">
        <is>
          <t>1-8-ESC0305.png</t>
        </is>
      </c>
      <c r="P9" t="inlineStr"/>
    </row>
    <row r="10">
      <c r="A10" t="n">
        <v>9</v>
      </c>
      <c r="B10" t="inlineStr">
        <is>
          <t>1</t>
        </is>
      </c>
      <c r="C10" t="inlineStr">
        <is>
          <t>MIV-2N316</t>
        </is>
      </c>
      <c r="D10" t="inlineStr">
        <is>
          <t>Defrictor</t>
        </is>
      </c>
      <c r="E10" t="inlineStr"/>
      <c r="F10" t="inlineStr">
        <is>
          <t>mask_21</t>
        </is>
      </c>
      <c r="G10" t="n">
        <v>100</v>
      </c>
      <c r="H10" t="inlineStr">
        <is>
          <t>display_name</t>
        </is>
      </c>
      <c r="I10" t="n">
        <v>77.8</v>
      </c>
      <c r="J10" t="n">
        <v>100</v>
      </c>
      <c r="K10" t="n">
        <v>80</v>
      </c>
      <c r="L10" t="n">
        <v>0</v>
      </c>
      <c r="M10" t="n">
        <v>0</v>
      </c>
      <c r="N10" t="inlineStr"/>
      <c r="O10" t="inlineStr">
        <is>
          <t>1-9-MIV-2N316.png</t>
        </is>
      </c>
      <c r="P10" t="inlineStr"/>
    </row>
    <row r="11">
      <c r="A11" t="n">
        <v>10</v>
      </c>
      <c r="B11" t="inlineStr">
        <is>
          <t>1</t>
        </is>
      </c>
      <c r="C11" t="inlineStr">
        <is>
          <t>OPTI0152CSS10</t>
        </is>
      </c>
      <c r="D11" t="inlineStr">
        <is>
          <t>OPTIMA</t>
        </is>
      </c>
      <c r="E11" t="inlineStr"/>
      <c r="F11" t="inlineStr">
        <is>
          <t>mask_24</t>
        </is>
      </c>
      <c r="G11" t="n">
        <v>100</v>
      </c>
      <c r="H11" t="inlineStr">
        <is>
          <t>spec_2</t>
        </is>
      </c>
      <c r="I11" t="n">
        <v>69.2</v>
      </c>
      <c r="J11" t="n">
        <v>100</v>
      </c>
      <c r="K11" t="n">
        <v>53.3</v>
      </c>
      <c r="L11" t="n">
        <v>80</v>
      </c>
      <c r="M11" t="n">
        <v>100</v>
      </c>
      <c r="N11" t="inlineStr"/>
      <c r="O11" t="inlineStr">
        <is>
          <t>1-10-OPTI0152CSS10.png</t>
        </is>
      </c>
      <c r="P11" t="inlineStr"/>
    </row>
    <row r="12">
      <c r="A12" t="n">
        <v>11</v>
      </c>
      <c r="B12" t="inlineStr">
        <is>
          <t>1</t>
        </is>
      </c>
      <c r="C12" t="inlineStr">
        <is>
          <t>C1775ST</t>
        </is>
      </c>
      <c r="D12" t="inlineStr">
        <is>
          <t>Excelsior XT-17</t>
        </is>
      </c>
      <c r="E12" t="inlineStr"/>
      <c r="F12" t="inlineStr">
        <is>
          <t>mask_12</t>
        </is>
      </c>
      <c r="G12" t="n">
        <v>80</v>
      </c>
      <c r="H12" t="inlineStr">
        <is>
          <t>spec_1</t>
        </is>
      </c>
      <c r="I12" t="n">
        <v>85.7</v>
      </c>
      <c r="J12" t="n">
        <v>93.3</v>
      </c>
      <c r="K12" t="n">
        <v>100</v>
      </c>
      <c r="L12" t="n">
        <v>80</v>
      </c>
      <c r="M12" t="n">
        <v>0</v>
      </c>
      <c r="N12" t="inlineStr"/>
      <c r="O12" t="inlineStr">
        <is>
          <t>1-11-C1775ST.png</t>
        </is>
      </c>
      <c r="P12" t="inlineStr"/>
    </row>
    <row r="13">
      <c r="A13" t="n">
        <v>12</v>
      </c>
      <c r="B13" t="inlineStr">
        <is>
          <t>1</t>
        </is>
      </c>
      <c r="C13" t="inlineStr">
        <is>
          <t>FG13160-0615-1S</t>
        </is>
      </c>
      <c r="D13" t="inlineStr">
        <is>
          <t>Phenom</t>
        </is>
      </c>
      <c r="E13" t="inlineStr"/>
      <c r="F13" t="inlineStr">
        <is>
          <t>mask_19</t>
        </is>
      </c>
      <c r="G13" t="n">
        <v>100</v>
      </c>
      <c r="H13" t="inlineStr">
        <is>
          <t>spec_2</t>
        </is>
      </c>
      <c r="I13" t="n">
        <v>86.7</v>
      </c>
      <c r="J13" t="n">
        <v>33.3</v>
      </c>
      <c r="K13" t="n">
        <v>100</v>
      </c>
      <c r="L13" t="n">
        <v>80</v>
      </c>
      <c r="M13" t="n">
        <v>100</v>
      </c>
      <c r="N13" t="inlineStr"/>
      <c r="O13" t="inlineStr">
        <is>
          <t>1-12-FG13160-0615-1S.png</t>
        </is>
      </c>
      <c r="P13" t="inlineStr"/>
    </row>
    <row r="14">
      <c r="A14" t="n">
        <v>13</v>
      </c>
      <c r="B14" t="inlineStr">
        <is>
          <t>1</t>
        </is>
      </c>
      <c r="C14" t="inlineStr">
        <is>
          <t>DAC6F115</t>
        </is>
      </c>
      <c r="D14" t="inlineStr">
        <is>
          <t>Esperance Distal Access Catheter</t>
        </is>
      </c>
      <c r="E14" t="inlineStr"/>
      <c r="F14" t="inlineStr">
        <is>
          <t>mask_6</t>
        </is>
      </c>
      <c r="G14" t="n">
        <v>100</v>
      </c>
      <c r="H14" t="inlineStr">
        <is>
          <t>spec_1</t>
        </is>
      </c>
      <c r="I14" t="n">
        <v>62.5</v>
      </c>
      <c r="J14" t="n">
        <v>87.5</v>
      </c>
      <c r="K14" t="n">
        <v>0</v>
      </c>
      <c r="L14" t="n">
        <v>100</v>
      </c>
      <c r="M14" t="n">
        <v>100</v>
      </c>
      <c r="N14" t="inlineStr"/>
      <c r="O14" t="inlineStr">
        <is>
          <t>1-13-DAC6F115.png</t>
        </is>
      </c>
      <c r="P14" t="inlineStr"/>
    </row>
    <row r="15">
      <c r="A15" t="n">
        <v>14</v>
      </c>
      <c r="B15" t="inlineStr">
        <is>
          <t>1</t>
        </is>
      </c>
      <c r="C15" t="inlineStr">
        <is>
          <t>SD-40040</t>
        </is>
      </c>
      <c r="D15" t="inlineStr">
        <is>
          <t>SHIDEN</t>
        </is>
      </c>
      <c r="E15" t="inlineStr"/>
      <c r="F15" t="inlineStr">
        <is>
          <t>mask_26</t>
        </is>
      </c>
      <c r="G15" t="n">
        <v>100</v>
      </c>
      <c r="H15" t="inlineStr">
        <is>
          <t>display_name</t>
        </is>
      </c>
      <c r="I15" t="n">
        <v>100</v>
      </c>
      <c r="J15" t="n">
        <v>100</v>
      </c>
      <c r="K15" t="n">
        <v>35.3</v>
      </c>
      <c r="L15" t="n">
        <v>0</v>
      </c>
      <c r="M15" t="n">
        <v>0</v>
      </c>
      <c r="N15" t="inlineStr"/>
      <c r="O15" t="inlineStr">
        <is>
          <t>1-14-SD-40040.png</t>
        </is>
      </c>
      <c r="P15" t="inlineStr"/>
    </row>
    <row r="16">
      <c r="A16" t="n">
        <v>15</v>
      </c>
      <c r="B16" t="inlineStr">
        <is>
          <t>1</t>
        </is>
      </c>
      <c r="C16" t="inlineStr">
        <is>
          <t>KMDA044178</t>
        </is>
      </c>
      <c r="D16" t="inlineStr">
        <is>
          <t>Guidepost</t>
        </is>
      </c>
      <c r="E16" t="inlineStr"/>
      <c r="F16" t="inlineStr">
        <is>
          <t>mask_2</t>
        </is>
      </c>
      <c r="G16" t="n">
        <v>100</v>
      </c>
      <c r="H16" t="inlineStr">
        <is>
          <t>spec_1</t>
        </is>
      </c>
      <c r="I16" t="n">
        <v>100</v>
      </c>
      <c r="J16" t="n">
        <v>11.8</v>
      </c>
      <c r="K16" t="n">
        <v>14.3</v>
      </c>
      <c r="L16" t="n">
        <v>100</v>
      </c>
      <c r="M16" t="n">
        <v>100</v>
      </c>
      <c r="N16" t="inlineStr"/>
      <c r="O16" t="inlineStr">
        <is>
          <t>1-15-KMDA044178.png</t>
        </is>
      </c>
      <c r="P16" t="inlineStr"/>
    </row>
    <row r="17">
      <c r="A17" t="n">
        <v>16</v>
      </c>
      <c r="B17" t="inlineStr">
        <is>
          <t>1</t>
        </is>
      </c>
      <c r="C17" t="inlineStr">
        <is>
          <t>APB-1.5-2-HX-ES</t>
        </is>
      </c>
      <c r="D17" t="inlineStr">
        <is>
          <t>Axium Prime</t>
        </is>
      </c>
      <c r="E17" t="inlineStr"/>
      <c r="F17" t="inlineStr">
        <is>
          <t>mask_27</t>
        </is>
      </c>
      <c r="G17" t="n">
        <v>80</v>
      </c>
      <c r="H17" t="inlineStr">
        <is>
          <t>spec_1</t>
        </is>
      </c>
      <c r="I17" t="n">
        <v>86.7</v>
      </c>
      <c r="J17" t="n">
        <v>50</v>
      </c>
      <c r="K17" t="n">
        <v>100</v>
      </c>
      <c r="L17" t="n">
        <v>80</v>
      </c>
      <c r="M17" t="n">
        <v>80</v>
      </c>
      <c r="N17" t="inlineStr"/>
      <c r="O17" t="inlineStr">
        <is>
          <t>1-16-APB-1.5-2-HX-ES.png</t>
        </is>
      </c>
      <c r="P17" t="inlineStr"/>
    </row>
    <row r="18">
      <c r="A18" s="4" t="n">
        <v>17</v>
      </c>
      <c r="B18" s="4" t="inlineStr">
        <is>
          <t>1</t>
        </is>
      </c>
      <c r="C18" s="4" t="inlineStr">
        <is>
          <t>SS2-40-070H</t>
        </is>
      </c>
      <c r="D18" s="4" t="inlineStr">
        <is>
          <t>SHOURYU2</t>
        </is>
      </c>
      <c r="E18" s="4" t="inlineStr"/>
      <c r="F18" s="4" t="inlineStr">
        <is>
          <t>該当なし</t>
        </is>
      </c>
      <c r="G18" s="4" t="n"/>
      <c r="H18" s="4" t="inlineStr"/>
      <c r="I18" s="4" t="n"/>
      <c r="J18" s="4" t="n"/>
      <c r="K18" s="4" t="n"/>
      <c r="L18" s="4" t="n"/>
      <c r="M18" s="4" t="n"/>
      <c r="N18" s="4" t="inlineStr"/>
      <c r="O18" s="4" t="inlineStr">
        <is>
          <t>1-17-SS2-40-070H.png</t>
        </is>
      </c>
      <c r="P18" s="4" t="inlineStr"/>
    </row>
    <row r="19">
      <c r="A19" t="n">
        <v>18</v>
      </c>
      <c r="B19" t="inlineStr">
        <is>
          <t>1</t>
        </is>
      </c>
      <c r="C19" t="inlineStr">
        <is>
          <t>1681189</t>
        </is>
      </c>
      <c r="D19" t="inlineStr">
        <is>
          <t>Excelsior SL-10</t>
        </is>
      </c>
      <c r="E19" t="inlineStr"/>
      <c r="F19" t="inlineStr">
        <is>
          <t>mask_18</t>
        </is>
      </c>
      <c r="G19" t="n">
        <v>100</v>
      </c>
      <c r="H19" t="inlineStr">
        <is>
          <t>spec_1</t>
        </is>
      </c>
      <c r="I19" t="n">
        <v>85.7</v>
      </c>
      <c r="J19" t="n">
        <v>93.3</v>
      </c>
      <c r="K19" t="n">
        <v>100</v>
      </c>
      <c r="L19" t="n">
        <v>100</v>
      </c>
      <c r="M19" t="n">
        <v>0</v>
      </c>
      <c r="N19" t="inlineStr"/>
      <c r="O19" t="inlineStr">
        <is>
          <t>1-18-1681189.png</t>
        </is>
      </c>
      <c r="P19" t="inlineStr"/>
    </row>
    <row r="20">
      <c r="A20" t="n">
        <v>19</v>
      </c>
      <c r="B20" t="inlineStr">
        <is>
          <t>1</t>
        </is>
      </c>
      <c r="C20" t="inlineStr">
        <is>
          <t>10CSW01010</t>
        </is>
      </c>
      <c r="D20" t="inlineStr">
        <is>
          <t>Wallaby Avenir Coil System</t>
        </is>
      </c>
      <c r="E20" t="inlineStr"/>
      <c r="F20" t="inlineStr">
        <is>
          <t>mask_22</t>
        </is>
      </c>
      <c r="G20" t="n">
        <v>80</v>
      </c>
      <c r="H20" t="inlineStr">
        <is>
          <t>spec_2</t>
        </is>
      </c>
      <c r="I20" t="n">
        <v>50</v>
      </c>
      <c r="J20" t="n">
        <v>61.5</v>
      </c>
      <c r="K20" t="n">
        <v>100</v>
      </c>
      <c r="L20" t="n">
        <v>0</v>
      </c>
      <c r="M20" t="n">
        <v>80</v>
      </c>
      <c r="N20" t="inlineStr"/>
      <c r="O20" t="inlineStr">
        <is>
          <t>1-19-10CSW01010.png</t>
        </is>
      </c>
      <c r="P20" t="inlineStr"/>
    </row>
    <row r="21">
      <c r="A21" t="n">
        <v>20</v>
      </c>
      <c r="B21" t="inlineStr">
        <is>
          <t>1</t>
        </is>
      </c>
      <c r="C21" t="inlineStr">
        <is>
          <t>OPTI0204CSS10</t>
        </is>
      </c>
      <c r="D21" t="inlineStr">
        <is>
          <t>OPTIMA</t>
        </is>
      </c>
      <c r="E21" t="inlineStr"/>
      <c r="F21" t="inlineStr">
        <is>
          <t>mask_17</t>
        </is>
      </c>
      <c r="G21" t="n">
        <v>100</v>
      </c>
      <c r="H21" t="inlineStr">
        <is>
          <t>spec_1</t>
        </is>
      </c>
      <c r="I21" t="n">
        <v>47.6</v>
      </c>
      <c r="J21" t="n">
        <v>100</v>
      </c>
      <c r="K21" t="n">
        <v>0</v>
      </c>
      <c r="L21" t="n">
        <v>100</v>
      </c>
      <c r="M21" t="n">
        <v>100</v>
      </c>
      <c r="N21" t="inlineStr"/>
      <c r="O21" t="inlineStr">
        <is>
          <t>1-20-OPTI0204CSS10.png</t>
        </is>
      </c>
      <c r="P21" t="inlineStr"/>
    </row>
    <row r="22">
      <c r="A22" t="n">
        <v>21</v>
      </c>
      <c r="B22" t="inlineStr">
        <is>
          <t>1</t>
        </is>
      </c>
      <c r="C22" t="inlineStr">
        <is>
          <t>SSTD215STR</t>
        </is>
      </c>
      <c r="D22" t="inlineStr">
        <is>
          <t>Synchro SELECT</t>
        </is>
      </c>
      <c r="E22" t="inlineStr"/>
      <c r="F22" t="inlineStr">
        <is>
          <t>mask_15</t>
        </is>
      </c>
      <c r="G22" t="n">
        <v>80</v>
      </c>
      <c r="H22" t="inlineStr">
        <is>
          <t>spec_1</t>
        </is>
      </c>
      <c r="I22" t="n">
        <v>100</v>
      </c>
      <c r="J22" t="n">
        <v>100</v>
      </c>
      <c r="K22" t="n">
        <v>100</v>
      </c>
      <c r="L22" t="n">
        <v>80</v>
      </c>
      <c r="M22" t="n">
        <v>0</v>
      </c>
      <c r="N22" t="inlineStr"/>
      <c r="O22" t="inlineStr">
        <is>
          <t>1-21-SSTD215STR.png</t>
        </is>
      </c>
      <c r="P22" t="inlineStr"/>
    </row>
    <row r="23">
      <c r="A23" t="n">
        <v>22</v>
      </c>
      <c r="B23" t="inlineStr">
        <is>
          <t>1</t>
        </is>
      </c>
      <c r="C23" t="inlineStr">
        <is>
          <t>373-040830</t>
        </is>
      </c>
      <c r="D23" t="inlineStr">
        <is>
          <t>i-ED COIL</t>
        </is>
      </c>
      <c r="E23" t="inlineStr"/>
      <c r="F23" t="inlineStr">
        <is>
          <t>mask_25</t>
        </is>
      </c>
      <c r="G23" t="n">
        <v>80</v>
      </c>
      <c r="H23" t="inlineStr">
        <is>
          <t>spec_1</t>
        </is>
      </c>
      <c r="I23" t="n">
        <v>100</v>
      </c>
      <c r="J23" t="n">
        <v>82.40000000000001</v>
      </c>
      <c r="K23" t="n">
        <v>100</v>
      </c>
      <c r="L23" t="n">
        <v>80</v>
      </c>
      <c r="M23" t="n">
        <v>80</v>
      </c>
      <c r="N23" t="inlineStr"/>
      <c r="O23" t="inlineStr">
        <is>
          <t>1-22-373-040830.png</t>
        </is>
      </c>
      <c r="P23" t="inlineStr"/>
    </row>
    <row r="24">
      <c r="A24" t="n">
        <v>23</v>
      </c>
      <c r="B24" t="inlineStr">
        <is>
          <t>1</t>
        </is>
      </c>
      <c r="C24" t="inlineStr">
        <is>
          <t>612104</t>
        </is>
      </c>
      <c r="D24" t="inlineStr">
        <is>
          <t>Target XL</t>
        </is>
      </c>
      <c r="E24" t="inlineStr"/>
      <c r="F24" t="inlineStr">
        <is>
          <t>mask_23</t>
        </is>
      </c>
      <c r="G24" t="n">
        <v>80</v>
      </c>
      <c r="H24" t="inlineStr">
        <is>
          <t>spec_1</t>
        </is>
      </c>
      <c r="I24" t="n">
        <v>72.7</v>
      </c>
      <c r="J24" t="n">
        <v>33.3</v>
      </c>
      <c r="K24" t="n">
        <v>53.3</v>
      </c>
      <c r="L24" t="n">
        <v>80</v>
      </c>
      <c r="M24" t="n">
        <v>0</v>
      </c>
      <c r="N24" t="inlineStr"/>
      <c r="O24" t="inlineStr">
        <is>
          <t>1-23-612104.png</t>
        </is>
      </c>
      <c r="P24" t="inlineStr"/>
    </row>
    <row r="25">
      <c r="A25" s="4" t="n">
        <v>24</v>
      </c>
      <c r="B25" s="4" t="inlineStr">
        <is>
          <t>1</t>
        </is>
      </c>
      <c r="C25" s="4" t="inlineStr">
        <is>
          <t>MC1715000</t>
        </is>
      </c>
      <c r="D25" s="4" t="inlineStr">
        <is>
          <t>pNOVUS</t>
        </is>
      </c>
      <c r="E25" s="4" t="inlineStr"/>
      <c r="F25" s="4" t="inlineStr">
        <is>
          <t>該当なし</t>
        </is>
      </c>
      <c r="G25" s="4" t="n"/>
      <c r="H25" s="4" t="inlineStr"/>
      <c r="I25" s="4" t="n"/>
      <c r="J25" s="4" t="n"/>
      <c r="K25" s="4" t="n"/>
      <c r="L25" s="4" t="n"/>
      <c r="M25" s="4" t="n"/>
      <c r="N25" s="4" t="inlineStr"/>
      <c r="O25" s="4" t="inlineStr">
        <is>
          <t>1-24-MC1715000.png</t>
        </is>
      </c>
      <c r="P25" s="4" t="inlineStr"/>
    </row>
    <row r="26">
      <c r="A26" s="4" t="n">
        <v>25</v>
      </c>
      <c r="B26" s="4" t="inlineStr">
        <is>
          <t>1</t>
        </is>
      </c>
      <c r="C26" s="4" t="inlineStr">
        <is>
          <t>APB-2-3-HX-ES</t>
        </is>
      </c>
      <c r="D26" s="4" t="inlineStr">
        <is>
          <t>Axium Prime</t>
        </is>
      </c>
      <c r="E26" s="4" t="inlineStr"/>
      <c r="F26" s="4" t="inlineStr">
        <is>
          <t>該当なし</t>
        </is>
      </c>
      <c r="G26" s="4" t="n"/>
      <c r="H26" s="4" t="inlineStr"/>
      <c r="I26" s="4" t="n"/>
      <c r="J26" s="4" t="n"/>
      <c r="K26" s="4" t="n"/>
      <c r="L26" s="4" t="n"/>
      <c r="M26" s="4" t="n"/>
      <c r="N26" s="4" t="inlineStr"/>
      <c r="O26" s="4" t="inlineStr">
        <is>
          <t>1-25-APB-2-3-HX-ES.png</t>
        </is>
      </c>
      <c r="P26" s="4" t="inlineStr"/>
    </row>
    <row r="27">
      <c r="A27" t="n">
        <v>26</v>
      </c>
      <c r="B27" t="inlineStr">
        <is>
          <t>2</t>
        </is>
      </c>
      <c r="C27" t="inlineStr">
        <is>
          <t>10CSW02020</t>
        </is>
      </c>
      <c r="D27" t="inlineStr">
        <is>
          <t>Wallaby Avenir Coil System</t>
        </is>
      </c>
      <c r="E27" t="inlineStr"/>
      <c r="F27" t="inlineStr">
        <is>
          <t>mask_24</t>
        </is>
      </c>
      <c r="G27" t="n">
        <v>80</v>
      </c>
      <c r="H27" t="inlineStr">
        <is>
          <t>spec_2</t>
        </is>
      </c>
      <c r="I27" t="n">
        <v>50</v>
      </c>
      <c r="J27" t="n">
        <v>65.40000000000001</v>
      </c>
      <c r="K27" t="n">
        <v>87.5</v>
      </c>
      <c r="L27" t="n">
        <v>0</v>
      </c>
      <c r="M27" t="n">
        <v>80</v>
      </c>
      <c r="N27" t="inlineStr"/>
      <c r="O27" t="inlineStr">
        <is>
          <t>2-26-10CSW02020.png</t>
        </is>
      </c>
      <c r="P27" t="inlineStr"/>
    </row>
    <row r="28">
      <c r="A28" t="n">
        <v>27</v>
      </c>
      <c r="B28" t="inlineStr">
        <is>
          <t>2</t>
        </is>
      </c>
      <c r="C28" t="inlineStr">
        <is>
          <t>AIN-CKI-200R</t>
        </is>
      </c>
      <c r="D28" t="inlineStr">
        <is>
          <t>CHIKAI</t>
        </is>
      </c>
      <c r="E28" t="inlineStr"/>
      <c r="F28" t="inlineStr">
        <is>
          <t>mask_17</t>
        </is>
      </c>
      <c r="G28" t="n">
        <v>100</v>
      </c>
      <c r="H28" t="inlineStr">
        <is>
          <t>spec_2</t>
        </is>
      </c>
      <c r="I28" t="n">
        <v>41.7</v>
      </c>
      <c r="J28" t="n">
        <v>100</v>
      </c>
      <c r="K28" t="n">
        <v>0</v>
      </c>
      <c r="L28" t="n">
        <v>80</v>
      </c>
      <c r="M28" t="n">
        <v>100</v>
      </c>
      <c r="N28" t="inlineStr"/>
      <c r="O28" t="inlineStr">
        <is>
          <t>2-27-AIN-CKI-200R.png</t>
        </is>
      </c>
      <c r="P28" t="inlineStr"/>
    </row>
    <row r="29">
      <c r="A29" t="n">
        <v>28</v>
      </c>
      <c r="B29" t="inlineStr">
        <is>
          <t>2</t>
        </is>
      </c>
      <c r="C29" t="inlineStr">
        <is>
          <t>MONORAIL</t>
        </is>
      </c>
      <c r="D29" t="inlineStr">
        <is>
          <t>Coyote ES</t>
        </is>
      </c>
      <c r="E29" t="inlineStr"/>
      <c r="F29" t="inlineStr">
        <is>
          <t>mask_25</t>
        </is>
      </c>
      <c r="G29" t="n">
        <v>100</v>
      </c>
      <c r="H29" t="inlineStr">
        <is>
          <t>spec_1</t>
        </is>
      </c>
      <c r="I29" t="n">
        <v>100</v>
      </c>
      <c r="J29" t="n">
        <v>88.90000000000001</v>
      </c>
      <c r="K29" t="n">
        <v>66.7</v>
      </c>
      <c r="L29" t="n">
        <v>100</v>
      </c>
      <c r="M29" t="n">
        <v>0</v>
      </c>
      <c r="N29" t="inlineStr"/>
      <c r="O29" t="inlineStr">
        <is>
          <t>2-28-MONORAIL.png</t>
        </is>
      </c>
      <c r="P29" t="inlineStr"/>
    </row>
    <row r="30">
      <c r="A30" s="4" t="n">
        <v>29</v>
      </c>
      <c r="B30" s="4" t="inlineStr">
        <is>
          <t>2</t>
        </is>
      </c>
      <c r="C30" s="4" t="inlineStr">
        <is>
          <t>ESC0407</t>
        </is>
      </c>
      <c r="D30" s="4" t="inlineStr">
        <is>
          <t>TransForm</t>
        </is>
      </c>
      <c r="E30" s="4" t="inlineStr"/>
      <c r="F30" s="4" t="inlineStr">
        <is>
          <t>該当なし</t>
        </is>
      </c>
      <c r="G30" s="4" t="n"/>
      <c r="H30" s="4" t="inlineStr"/>
      <c r="I30" s="4" t="n"/>
      <c r="J30" s="4" t="n"/>
      <c r="K30" s="4" t="n"/>
      <c r="L30" s="4" t="n"/>
      <c r="M30" s="4" t="n"/>
      <c r="N30" s="4" t="inlineStr"/>
      <c r="O30" s="4" t="inlineStr">
        <is>
          <t>2-29-ESC0407.png</t>
        </is>
      </c>
      <c r="P30" s="4" t="inlineStr"/>
    </row>
    <row r="31">
      <c r="A31" t="n">
        <v>30</v>
      </c>
      <c r="B31" t="inlineStr">
        <is>
          <t>2</t>
        </is>
      </c>
      <c r="C31" t="inlineStr">
        <is>
          <t>MAT-110-110</t>
        </is>
      </c>
      <c r="D31" t="inlineStr">
        <is>
          <t>Riptide Large Bore Aspiration Tubing</t>
        </is>
      </c>
      <c r="E31" t="inlineStr"/>
      <c r="F31" t="inlineStr">
        <is>
          <t>mask_21</t>
        </is>
      </c>
      <c r="G31" t="n">
        <v>100</v>
      </c>
      <c r="H31" t="inlineStr">
        <is>
          <t>spec_2</t>
        </is>
      </c>
      <c r="I31" t="n">
        <v>100</v>
      </c>
      <c r="J31" t="n">
        <v>68.7</v>
      </c>
      <c r="K31" t="n">
        <v>100</v>
      </c>
      <c r="L31" t="n">
        <v>80</v>
      </c>
      <c r="M31" t="n">
        <v>100</v>
      </c>
      <c r="N31" t="inlineStr"/>
      <c r="O31" t="inlineStr">
        <is>
          <t>2-30-MAT-110-110.png</t>
        </is>
      </c>
      <c r="P31" t="inlineStr"/>
    </row>
    <row r="32">
      <c r="A32" s="4" t="n">
        <v>31</v>
      </c>
      <c r="B32" s="4" t="inlineStr">
        <is>
          <t>2</t>
        </is>
      </c>
      <c r="C32" s="4" t="inlineStr">
        <is>
          <t>XT275081</t>
        </is>
      </c>
      <c r="D32" s="4" t="inlineStr">
        <is>
          <t>Excelsior XT-27</t>
        </is>
      </c>
      <c r="E32" s="4" t="inlineStr"/>
      <c r="F32" s="4" t="inlineStr">
        <is>
          <t>該当なし</t>
        </is>
      </c>
      <c r="G32" s="4" t="n"/>
      <c r="H32" s="4" t="inlineStr"/>
      <c r="I32" s="4" t="n"/>
      <c r="J32" s="4" t="n"/>
      <c r="K32" s="4" t="n"/>
      <c r="L32" s="4" t="n"/>
      <c r="M32" s="4" t="n"/>
      <c r="N32" s="4" t="inlineStr"/>
      <c r="O32" s="4" t="inlineStr">
        <is>
          <t>2-31-XT275081.png</t>
        </is>
      </c>
      <c r="P32" s="4" t="inlineStr"/>
    </row>
    <row r="33">
      <c r="A33" s="4" t="n">
        <v>32</v>
      </c>
      <c r="B33" s="4" t="inlineStr">
        <is>
          <t>2</t>
        </is>
      </c>
      <c r="C33" s="4" t="inlineStr">
        <is>
          <t>OPTI0408CSS10</t>
        </is>
      </c>
      <c r="D33" s="4" t="inlineStr">
        <is>
          <t>OPTIMA</t>
        </is>
      </c>
      <c r="E33" s="4" t="inlineStr"/>
      <c r="F33" s="4" t="inlineStr">
        <is>
          <t>該当なし</t>
        </is>
      </c>
      <c r="G33" s="4" t="n"/>
      <c r="H33" s="4" t="inlineStr"/>
      <c r="I33" s="4" t="n"/>
      <c r="J33" s="4" t="n"/>
      <c r="K33" s="4" t="n"/>
      <c r="L33" s="4" t="n"/>
      <c r="M33" s="4" t="n"/>
      <c r="N33" s="4" t="inlineStr"/>
      <c r="O33" s="4" t="inlineStr">
        <is>
          <t>2-32-OPTI0408CSS10.png</t>
        </is>
      </c>
      <c r="P33" s="4" t="inlineStr"/>
    </row>
    <row r="34">
      <c r="A34" s="4" t="n">
        <v>33</v>
      </c>
      <c r="B34" s="4" t="inlineStr">
        <is>
          <t>2</t>
        </is>
      </c>
      <c r="C34" s="4" t="inlineStr">
        <is>
          <t>ESC0305</t>
        </is>
      </c>
      <c r="D34" s="4" t="inlineStr">
        <is>
          <t>TransForm</t>
        </is>
      </c>
      <c r="E34" s="4" t="inlineStr"/>
      <c r="F34" s="4" t="inlineStr">
        <is>
          <t>該当なし</t>
        </is>
      </c>
      <c r="G34" s="4" t="n"/>
      <c r="H34" s="4" t="inlineStr"/>
      <c r="I34" s="4" t="n"/>
      <c r="J34" s="4" t="n"/>
      <c r="K34" s="4" t="n"/>
      <c r="L34" s="4" t="n"/>
      <c r="M34" s="4" t="n"/>
      <c r="N34" s="4" t="inlineStr"/>
      <c r="O34" s="4" t="inlineStr">
        <is>
          <t>2-33-ESC0305.png</t>
        </is>
      </c>
      <c r="P34" s="4" t="inlineStr"/>
    </row>
    <row r="35">
      <c r="A35" s="4" t="n">
        <v>34</v>
      </c>
      <c r="B35" s="4" t="inlineStr">
        <is>
          <t>2</t>
        </is>
      </c>
      <c r="C35" s="4" t="inlineStr">
        <is>
          <t>MIV-2N316</t>
        </is>
      </c>
      <c r="D35" s="4" t="inlineStr">
        <is>
          <t>Defrictor</t>
        </is>
      </c>
      <c r="E35" s="4" t="inlineStr"/>
      <c r="F35" s="4" t="inlineStr">
        <is>
          <t>該当なし</t>
        </is>
      </c>
      <c r="G35" s="4" t="n"/>
      <c r="H35" s="4" t="inlineStr"/>
      <c r="I35" s="4" t="n"/>
      <c r="J35" s="4" t="n"/>
      <c r="K35" s="4" t="n"/>
      <c r="L35" s="4" t="n"/>
      <c r="M35" s="4" t="n"/>
      <c r="N35" s="4" t="inlineStr"/>
      <c r="O35" s="4" t="inlineStr">
        <is>
          <t>2-34-MIV-2N316.png</t>
        </is>
      </c>
      <c r="P35" s="4" t="inlineStr"/>
    </row>
    <row r="36">
      <c r="A36" t="n">
        <v>35</v>
      </c>
      <c r="B36" t="inlineStr">
        <is>
          <t>2</t>
        </is>
      </c>
      <c r="C36" t="inlineStr">
        <is>
          <t>OPTI0152CSS10</t>
        </is>
      </c>
      <c r="D36" t="inlineStr">
        <is>
          <t>OPTIMA</t>
        </is>
      </c>
      <c r="E36" t="inlineStr"/>
      <c r="F36" t="inlineStr">
        <is>
          <t>mask_16</t>
        </is>
      </c>
      <c r="G36" t="n">
        <v>100</v>
      </c>
      <c r="H36" t="inlineStr">
        <is>
          <t>spec_1</t>
        </is>
      </c>
      <c r="I36" t="n">
        <v>53.8</v>
      </c>
      <c r="J36" t="n">
        <v>100</v>
      </c>
      <c r="K36" t="n">
        <v>57.1</v>
      </c>
      <c r="L36" t="n">
        <v>100</v>
      </c>
      <c r="M36" t="n">
        <v>100</v>
      </c>
      <c r="N36" t="inlineStr"/>
      <c r="O36" t="inlineStr">
        <is>
          <t>2-35-OPTI0152CSS10.png</t>
        </is>
      </c>
      <c r="P36" t="inlineStr"/>
    </row>
    <row r="37">
      <c r="A37" t="n">
        <v>36</v>
      </c>
      <c r="B37" t="inlineStr">
        <is>
          <t>2</t>
        </is>
      </c>
      <c r="C37" t="inlineStr">
        <is>
          <t>C1775ST</t>
        </is>
      </c>
      <c r="D37" t="inlineStr">
        <is>
          <t>Excelsior XT-17</t>
        </is>
      </c>
      <c r="E37" t="inlineStr"/>
      <c r="F37" t="inlineStr">
        <is>
          <t>mask_20</t>
        </is>
      </c>
      <c r="G37" t="n">
        <v>80</v>
      </c>
      <c r="H37" t="inlineStr">
        <is>
          <t>spec_1</t>
        </is>
      </c>
      <c r="I37" t="n">
        <v>85.7</v>
      </c>
      <c r="J37" t="n">
        <v>93.3</v>
      </c>
      <c r="K37" t="n">
        <v>100</v>
      </c>
      <c r="L37" t="n">
        <v>80</v>
      </c>
      <c r="M37" t="n">
        <v>0</v>
      </c>
      <c r="N37" t="inlineStr"/>
      <c r="O37" t="inlineStr">
        <is>
          <t>2-36-C1775ST.png</t>
        </is>
      </c>
      <c r="P37" t="inlineStr"/>
    </row>
    <row r="38">
      <c r="A38" t="n">
        <v>37</v>
      </c>
      <c r="B38" t="inlineStr">
        <is>
          <t>2</t>
        </is>
      </c>
      <c r="C38" t="inlineStr">
        <is>
          <t>FG13160-0615-1S</t>
        </is>
      </c>
      <c r="D38" t="inlineStr">
        <is>
          <t>Phenom</t>
        </is>
      </c>
      <c r="E38" t="inlineStr"/>
      <c r="F38" t="inlineStr">
        <is>
          <t>mask_23</t>
        </is>
      </c>
      <c r="G38" t="n">
        <v>100</v>
      </c>
      <c r="H38" t="inlineStr">
        <is>
          <t>spec_2</t>
        </is>
      </c>
      <c r="I38" t="n">
        <v>93.3</v>
      </c>
      <c r="J38" t="n">
        <v>33.3</v>
      </c>
      <c r="K38" t="n">
        <v>100</v>
      </c>
      <c r="L38" t="n">
        <v>0</v>
      </c>
      <c r="M38" t="n">
        <v>100</v>
      </c>
      <c r="N38" t="inlineStr"/>
      <c r="O38" t="inlineStr">
        <is>
          <t>2-37-FG13160-0615-1S.png</t>
        </is>
      </c>
      <c r="P38" t="inlineStr"/>
    </row>
    <row r="39">
      <c r="A39" t="n">
        <v>38</v>
      </c>
      <c r="B39" t="inlineStr">
        <is>
          <t>2</t>
        </is>
      </c>
      <c r="C39" t="inlineStr">
        <is>
          <t>DAC6F115</t>
        </is>
      </c>
      <c r="D39" t="inlineStr">
        <is>
          <t>Esperance Distal Access Catheter</t>
        </is>
      </c>
      <c r="E39" t="inlineStr"/>
      <c r="F39" t="inlineStr">
        <is>
          <t>mask_3</t>
        </is>
      </c>
      <c r="G39" t="n">
        <v>100</v>
      </c>
      <c r="H39" t="inlineStr">
        <is>
          <t>spec_1</t>
        </is>
      </c>
      <c r="I39" t="n">
        <v>71.40000000000001</v>
      </c>
      <c r="J39" t="n">
        <v>93.8</v>
      </c>
      <c r="K39" t="n">
        <v>80</v>
      </c>
      <c r="L39" t="n">
        <v>100</v>
      </c>
      <c r="M39" t="n">
        <v>100</v>
      </c>
      <c r="N39" t="inlineStr"/>
      <c r="O39" t="inlineStr">
        <is>
          <t>2-38-DAC6F115.png</t>
        </is>
      </c>
      <c r="P39" t="inlineStr"/>
    </row>
    <row r="40">
      <c r="A40" t="n">
        <v>39</v>
      </c>
      <c r="B40" t="inlineStr">
        <is>
          <t>2</t>
        </is>
      </c>
      <c r="C40" t="inlineStr">
        <is>
          <t>SD-40040</t>
        </is>
      </c>
      <c r="D40" t="inlineStr">
        <is>
          <t>SHIDEN</t>
        </is>
      </c>
      <c r="E40" t="inlineStr"/>
      <c r="F40" t="inlineStr">
        <is>
          <t>mask_22</t>
        </is>
      </c>
      <c r="G40" t="n">
        <v>100</v>
      </c>
      <c r="H40" t="inlineStr">
        <is>
          <t>display_name</t>
        </is>
      </c>
      <c r="I40" t="n">
        <v>100</v>
      </c>
      <c r="J40" t="n">
        <v>100</v>
      </c>
      <c r="K40" t="n">
        <v>75</v>
      </c>
      <c r="L40" t="n">
        <v>0</v>
      </c>
      <c r="M40" t="n">
        <v>0</v>
      </c>
      <c r="N40" t="inlineStr"/>
      <c r="O40" t="inlineStr">
        <is>
          <t>2-39-SD-40040.png</t>
        </is>
      </c>
      <c r="P40" t="inlineStr"/>
    </row>
    <row r="41">
      <c r="A41" t="n">
        <v>40</v>
      </c>
      <c r="B41" t="inlineStr">
        <is>
          <t>2</t>
        </is>
      </c>
      <c r="C41" t="inlineStr">
        <is>
          <t>KMDA044178</t>
        </is>
      </c>
      <c r="D41" t="inlineStr">
        <is>
          <t>Guidepost</t>
        </is>
      </c>
      <c r="E41" t="inlineStr"/>
      <c r="F41" t="inlineStr">
        <is>
          <t>mask_9</t>
        </is>
      </c>
      <c r="G41" t="n">
        <v>100</v>
      </c>
      <c r="H41" t="inlineStr">
        <is>
          <t>spec_1</t>
        </is>
      </c>
      <c r="I41" t="n">
        <v>100</v>
      </c>
      <c r="J41" t="n">
        <v>11.8</v>
      </c>
      <c r="K41" t="n">
        <v>53.3</v>
      </c>
      <c r="L41" t="n">
        <v>100</v>
      </c>
      <c r="M41" t="n">
        <v>100</v>
      </c>
      <c r="N41" t="inlineStr"/>
      <c r="O41" t="inlineStr">
        <is>
          <t>2-40-KMDA044178.png</t>
        </is>
      </c>
      <c r="P41" t="inlineStr"/>
    </row>
    <row r="42">
      <c r="A42" t="n">
        <v>41</v>
      </c>
      <c r="B42" t="inlineStr">
        <is>
          <t>2</t>
        </is>
      </c>
      <c r="C42" t="inlineStr">
        <is>
          <t>APB-1.5-2-HX-ES</t>
        </is>
      </c>
      <c r="D42" t="inlineStr">
        <is>
          <t>Axium Prime</t>
        </is>
      </c>
      <c r="E42" t="inlineStr"/>
      <c r="F42" t="inlineStr">
        <is>
          <t>mask_18</t>
        </is>
      </c>
      <c r="G42" t="n">
        <v>80</v>
      </c>
      <c r="H42" t="inlineStr">
        <is>
          <t>spec_1</t>
        </is>
      </c>
      <c r="I42" t="n">
        <v>93.3</v>
      </c>
      <c r="J42" t="n">
        <v>50</v>
      </c>
      <c r="K42" t="n">
        <v>100</v>
      </c>
      <c r="L42" t="n">
        <v>80</v>
      </c>
      <c r="M42" t="n">
        <v>80</v>
      </c>
      <c r="N42" t="inlineStr"/>
      <c r="O42" t="inlineStr">
        <is>
          <t>2-41-APB-1.5-2-HX-ES.png</t>
        </is>
      </c>
      <c r="P42" t="inlineStr"/>
    </row>
    <row r="43">
      <c r="A43" t="n">
        <v>42</v>
      </c>
      <c r="B43" t="inlineStr">
        <is>
          <t>2</t>
        </is>
      </c>
      <c r="C43" t="inlineStr">
        <is>
          <t>SS2-40-070H</t>
        </is>
      </c>
      <c r="D43" t="inlineStr">
        <is>
          <t>SHOURYU2</t>
        </is>
      </c>
      <c r="E43" t="inlineStr"/>
      <c r="F43" t="inlineStr">
        <is>
          <t>mask_14</t>
        </is>
      </c>
      <c r="G43" t="n">
        <v>87.5</v>
      </c>
      <c r="H43" t="inlineStr">
        <is>
          <t>display_name</t>
        </is>
      </c>
      <c r="I43" t="n">
        <v>90.90000000000001</v>
      </c>
      <c r="J43" t="n">
        <v>87.5</v>
      </c>
      <c r="K43" t="n">
        <v>87.5</v>
      </c>
      <c r="L43" t="n">
        <v>0</v>
      </c>
      <c r="M43" t="n">
        <v>0</v>
      </c>
      <c r="N43" t="inlineStr"/>
      <c r="O43" t="inlineStr">
        <is>
          <t>2-42-SS2-40-070H.png</t>
        </is>
      </c>
      <c r="P43" t="inlineStr"/>
    </row>
    <row r="44">
      <c r="A44" t="n">
        <v>43</v>
      </c>
      <c r="B44" t="inlineStr">
        <is>
          <t>2</t>
        </is>
      </c>
      <c r="C44" t="inlineStr">
        <is>
          <t>1681189</t>
        </is>
      </c>
      <c r="D44" t="inlineStr">
        <is>
          <t>Excelsior SL-10</t>
        </is>
      </c>
      <c r="E44" t="inlineStr"/>
      <c r="F44" t="inlineStr">
        <is>
          <t>mask_7</t>
        </is>
      </c>
      <c r="G44" t="n">
        <v>100</v>
      </c>
      <c r="H44" t="inlineStr">
        <is>
          <t>spec_1</t>
        </is>
      </c>
      <c r="I44" t="n">
        <v>85.7</v>
      </c>
      <c r="J44" t="n">
        <v>93.3</v>
      </c>
      <c r="K44" t="n">
        <v>100</v>
      </c>
      <c r="L44" t="n">
        <v>100</v>
      </c>
      <c r="M44" t="n">
        <v>0</v>
      </c>
      <c r="N44" t="inlineStr"/>
      <c r="O44" t="inlineStr">
        <is>
          <t>2-43-1681189.png</t>
        </is>
      </c>
      <c r="P44" t="inlineStr"/>
    </row>
    <row r="45">
      <c r="A45" t="n">
        <v>44</v>
      </c>
      <c r="B45" t="inlineStr">
        <is>
          <t>2</t>
        </is>
      </c>
      <c r="C45" t="inlineStr">
        <is>
          <t>10CSW01010</t>
        </is>
      </c>
      <c r="D45" t="inlineStr">
        <is>
          <t>Wallaby Avenir Coil System</t>
        </is>
      </c>
      <c r="E45" t="inlineStr"/>
      <c r="F45" t="inlineStr">
        <is>
          <t>mask_11</t>
        </is>
      </c>
      <c r="G45" t="n">
        <v>80</v>
      </c>
      <c r="H45" t="inlineStr">
        <is>
          <t>spec_2</t>
        </is>
      </c>
      <c r="I45" t="n">
        <v>42.1</v>
      </c>
      <c r="J45" t="n">
        <v>61.5</v>
      </c>
      <c r="K45" t="n">
        <v>100</v>
      </c>
      <c r="L45" t="n">
        <v>0</v>
      </c>
      <c r="M45" t="n">
        <v>80</v>
      </c>
      <c r="N45" t="inlineStr"/>
      <c r="O45" t="inlineStr">
        <is>
          <t>2-44-10CSW01010.png</t>
        </is>
      </c>
      <c r="P45" t="inlineStr"/>
    </row>
    <row r="46">
      <c r="A46" s="4" t="n">
        <v>45</v>
      </c>
      <c r="B46" s="4" t="inlineStr">
        <is>
          <t>2</t>
        </is>
      </c>
      <c r="C46" s="4" t="inlineStr">
        <is>
          <t>OPTI0204CSS10</t>
        </is>
      </c>
      <c r="D46" s="4" t="inlineStr">
        <is>
          <t>OPTIMA</t>
        </is>
      </c>
      <c r="E46" s="4" t="inlineStr"/>
      <c r="F46" s="4" t="inlineStr">
        <is>
          <t>該当なし</t>
        </is>
      </c>
      <c r="G46" s="4" t="n"/>
      <c r="H46" s="4" t="inlineStr"/>
      <c r="I46" s="4" t="n"/>
      <c r="J46" s="4" t="n"/>
      <c r="K46" s="4" t="n"/>
      <c r="L46" s="4" t="n"/>
      <c r="M46" s="4" t="n"/>
      <c r="N46" s="4" t="inlineStr"/>
      <c r="O46" s="4" t="inlineStr">
        <is>
          <t>2-45-OPTI0204CSS10.png</t>
        </is>
      </c>
      <c r="P46" s="4" t="inlineStr"/>
    </row>
    <row r="47">
      <c r="A47" t="n">
        <v>46</v>
      </c>
      <c r="B47" t="inlineStr">
        <is>
          <t>2</t>
        </is>
      </c>
      <c r="C47" t="inlineStr">
        <is>
          <t>SSTD215STR</t>
        </is>
      </c>
      <c r="D47" t="inlineStr">
        <is>
          <t>Synchro SELECT</t>
        </is>
      </c>
      <c r="E47" t="inlineStr"/>
      <c r="F47" t="inlineStr">
        <is>
          <t>mask_1</t>
        </is>
      </c>
      <c r="G47" t="n">
        <v>80</v>
      </c>
      <c r="H47" t="inlineStr">
        <is>
          <t>spec_1</t>
        </is>
      </c>
      <c r="I47" t="n">
        <v>80</v>
      </c>
      <c r="J47" t="n">
        <v>85.7</v>
      </c>
      <c r="K47" t="n">
        <v>100</v>
      </c>
      <c r="L47" t="n">
        <v>80</v>
      </c>
      <c r="M47" t="n">
        <v>80</v>
      </c>
      <c r="N47" t="inlineStr"/>
      <c r="O47" t="inlineStr">
        <is>
          <t>2-46-SSTD215STR.png</t>
        </is>
      </c>
      <c r="P47" t="inlineStr"/>
    </row>
    <row r="48">
      <c r="A48" t="n">
        <v>47</v>
      </c>
      <c r="B48" t="inlineStr">
        <is>
          <t>2</t>
        </is>
      </c>
      <c r="C48" t="inlineStr">
        <is>
          <t>373-040830</t>
        </is>
      </c>
      <c r="D48" t="inlineStr">
        <is>
          <t>i-ED COIL</t>
        </is>
      </c>
      <c r="E48" t="inlineStr"/>
      <c r="F48" t="inlineStr">
        <is>
          <t>mask_6</t>
        </is>
      </c>
      <c r="G48" t="n">
        <v>80</v>
      </c>
      <c r="H48" t="inlineStr">
        <is>
          <t>spec_1</t>
        </is>
      </c>
      <c r="I48" t="n">
        <v>70.59999999999999</v>
      </c>
      <c r="J48" t="n">
        <v>37.5</v>
      </c>
      <c r="K48" t="n">
        <v>75</v>
      </c>
      <c r="L48" t="n">
        <v>80</v>
      </c>
      <c r="M48" t="n">
        <v>80</v>
      </c>
      <c r="N48" t="inlineStr"/>
      <c r="O48" t="inlineStr">
        <is>
          <t>2-47-373-040830.png</t>
        </is>
      </c>
      <c r="P48" t="inlineStr"/>
    </row>
    <row r="49">
      <c r="A49" t="n">
        <v>48</v>
      </c>
      <c r="B49" t="inlineStr">
        <is>
          <t>2</t>
        </is>
      </c>
      <c r="C49" t="inlineStr">
        <is>
          <t>612104</t>
        </is>
      </c>
      <c r="D49" t="inlineStr">
        <is>
          <t>Target XL</t>
        </is>
      </c>
      <c r="E49" t="inlineStr"/>
      <c r="F49" t="inlineStr">
        <is>
          <t>mask_10</t>
        </is>
      </c>
      <c r="G49" t="n">
        <v>80</v>
      </c>
      <c r="H49" t="inlineStr">
        <is>
          <t>spec_1</t>
        </is>
      </c>
      <c r="I49" t="n">
        <v>100</v>
      </c>
      <c r="J49" t="n">
        <v>88.90000000000001</v>
      </c>
      <c r="K49" t="n">
        <v>62.5</v>
      </c>
      <c r="L49" t="n">
        <v>80</v>
      </c>
      <c r="M49" t="n">
        <v>0</v>
      </c>
      <c r="N49" t="inlineStr"/>
      <c r="O49" t="inlineStr">
        <is>
          <t>2-48-612104.png</t>
        </is>
      </c>
      <c r="P49" t="inlineStr"/>
    </row>
    <row r="50">
      <c r="A50" t="n">
        <v>49</v>
      </c>
      <c r="B50" t="inlineStr">
        <is>
          <t>2</t>
        </is>
      </c>
      <c r="C50" t="inlineStr">
        <is>
          <t>MC1715000</t>
        </is>
      </c>
      <c r="D50" t="inlineStr">
        <is>
          <t>pNOVUS</t>
        </is>
      </c>
      <c r="E50" t="inlineStr"/>
      <c r="F50" t="inlineStr">
        <is>
          <t>mask_13</t>
        </is>
      </c>
      <c r="G50" t="n">
        <v>100</v>
      </c>
      <c r="H50" t="inlineStr">
        <is>
          <t>spec_2</t>
        </is>
      </c>
      <c r="I50" t="n">
        <v>40</v>
      </c>
      <c r="J50" t="n">
        <v>100</v>
      </c>
      <c r="K50" t="n">
        <v>0</v>
      </c>
      <c r="L50" t="n">
        <v>80</v>
      </c>
      <c r="M50" t="n">
        <v>100</v>
      </c>
      <c r="N50" t="inlineStr"/>
      <c r="O50" t="inlineStr">
        <is>
          <t>2-49-MC1715000.png</t>
        </is>
      </c>
      <c r="P50" t="inlineStr"/>
    </row>
    <row r="51">
      <c r="A51" s="4" t="n">
        <v>50</v>
      </c>
      <c r="B51" s="4" t="inlineStr">
        <is>
          <t>2</t>
        </is>
      </c>
      <c r="C51" s="4" t="inlineStr">
        <is>
          <t>APB-2-3-HX-ES</t>
        </is>
      </c>
      <c r="D51" s="4" t="inlineStr">
        <is>
          <t>Axium Prime</t>
        </is>
      </c>
      <c r="E51" s="4" t="inlineStr"/>
      <c r="F51" s="4" t="inlineStr">
        <is>
          <t>該当なし</t>
        </is>
      </c>
      <c r="G51" s="4" t="n"/>
      <c r="H51" s="4" t="inlineStr"/>
      <c r="I51" s="4" t="n"/>
      <c r="J51" s="4" t="n"/>
      <c r="K51" s="4" t="n"/>
      <c r="L51" s="4" t="n"/>
      <c r="M51" s="4" t="n"/>
      <c r="N51" s="4" t="inlineStr"/>
      <c r="O51" s="4" t="inlineStr">
        <is>
          <t>2-50-APB-2-3-HX-ES.png</t>
        </is>
      </c>
      <c r="P51" s="4" t="inlineStr"/>
    </row>
    <row r="52">
      <c r="A52" t="n">
        <v>51</v>
      </c>
      <c r="B52" t="inlineStr">
        <is>
          <t>3</t>
        </is>
      </c>
      <c r="C52" t="inlineStr">
        <is>
          <t>10CSW02020</t>
        </is>
      </c>
      <c r="D52" t="inlineStr">
        <is>
          <t>Wallaby Avenir Coil System</t>
        </is>
      </c>
      <c r="E52" t="inlineStr"/>
      <c r="F52" t="inlineStr">
        <is>
          <t>mask_9</t>
        </is>
      </c>
      <c r="G52" t="n">
        <v>80</v>
      </c>
      <c r="H52" t="inlineStr">
        <is>
          <t>spec_2</t>
        </is>
      </c>
      <c r="I52" t="n">
        <v>40</v>
      </c>
      <c r="J52" t="n">
        <v>76.90000000000001</v>
      </c>
      <c r="K52" t="n">
        <v>87.5</v>
      </c>
      <c r="L52" t="n">
        <v>0</v>
      </c>
      <c r="M52" t="n">
        <v>80</v>
      </c>
      <c r="N52" t="inlineStr"/>
      <c r="O52" t="inlineStr">
        <is>
          <t>3-51-10CSW02020.png</t>
        </is>
      </c>
      <c r="P52" t="inlineStr"/>
    </row>
    <row r="53">
      <c r="A53" t="n">
        <v>52</v>
      </c>
      <c r="B53" t="inlineStr">
        <is>
          <t>3</t>
        </is>
      </c>
      <c r="C53" t="inlineStr">
        <is>
          <t>AIN-CKI-200R</t>
        </is>
      </c>
      <c r="D53" t="inlineStr">
        <is>
          <t>CHIKAI</t>
        </is>
      </c>
      <c r="E53" t="inlineStr"/>
      <c r="F53" t="inlineStr">
        <is>
          <t>mask_18</t>
        </is>
      </c>
      <c r="G53" t="n">
        <v>100</v>
      </c>
      <c r="H53" t="inlineStr">
        <is>
          <t>spec_2</t>
        </is>
      </c>
      <c r="I53" t="n">
        <v>41.7</v>
      </c>
      <c r="J53" t="n">
        <v>100</v>
      </c>
      <c r="K53" t="n">
        <v>0</v>
      </c>
      <c r="L53" t="n">
        <v>80</v>
      </c>
      <c r="M53" t="n">
        <v>100</v>
      </c>
      <c r="N53" t="inlineStr"/>
      <c r="O53" t="inlineStr">
        <is>
          <t>3-52-AIN-CKI-200R.png</t>
        </is>
      </c>
      <c r="P53" t="inlineStr"/>
    </row>
    <row r="54">
      <c r="A54" t="n">
        <v>53</v>
      </c>
      <c r="B54" t="inlineStr">
        <is>
          <t>3</t>
        </is>
      </c>
      <c r="C54" t="inlineStr">
        <is>
          <t>MONORAIL</t>
        </is>
      </c>
      <c r="D54" t="inlineStr">
        <is>
          <t>Coyote ES</t>
        </is>
      </c>
      <c r="E54" t="inlineStr"/>
      <c r="F54" t="inlineStr">
        <is>
          <t>mask_22</t>
        </is>
      </c>
      <c r="G54" t="n">
        <v>80</v>
      </c>
      <c r="H54" t="inlineStr">
        <is>
          <t>spec_1</t>
        </is>
      </c>
      <c r="I54" t="n">
        <v>100</v>
      </c>
      <c r="J54" t="n">
        <v>53.3</v>
      </c>
      <c r="K54" t="n">
        <v>0</v>
      </c>
      <c r="L54" t="n">
        <v>80</v>
      </c>
      <c r="M54" t="n">
        <v>80</v>
      </c>
      <c r="N54" t="inlineStr"/>
      <c r="O54" t="inlineStr">
        <is>
          <t>3-53-MONORAIL.png</t>
        </is>
      </c>
      <c r="P54" t="inlineStr"/>
    </row>
    <row r="55">
      <c r="A55" t="n">
        <v>54</v>
      </c>
      <c r="B55" t="inlineStr">
        <is>
          <t>3</t>
        </is>
      </c>
      <c r="C55" t="inlineStr">
        <is>
          <t>ESC0407</t>
        </is>
      </c>
      <c r="D55" t="inlineStr">
        <is>
          <t>TransForm</t>
        </is>
      </c>
      <c r="E55" t="inlineStr"/>
      <c r="F55" t="inlineStr">
        <is>
          <t>mask_14</t>
        </is>
      </c>
      <c r="G55" t="n">
        <v>100</v>
      </c>
      <c r="H55" t="inlineStr">
        <is>
          <t>spec_1</t>
        </is>
      </c>
      <c r="I55" t="n">
        <v>100</v>
      </c>
      <c r="J55" t="n">
        <v>100</v>
      </c>
      <c r="K55" t="n">
        <v>62.5</v>
      </c>
      <c r="L55" t="n">
        <v>100</v>
      </c>
      <c r="M55" t="n">
        <v>0</v>
      </c>
      <c r="N55" t="inlineStr"/>
      <c r="O55" t="inlineStr">
        <is>
          <t>3-54-ESC0407.png</t>
        </is>
      </c>
      <c r="P55" t="inlineStr"/>
    </row>
    <row r="56">
      <c r="A56" s="4" t="n">
        <v>55</v>
      </c>
      <c r="B56" s="4" t="inlineStr">
        <is>
          <t>3</t>
        </is>
      </c>
      <c r="C56" s="4" t="inlineStr">
        <is>
          <t>MAT-110-110</t>
        </is>
      </c>
      <c r="D56" s="4" t="inlineStr">
        <is>
          <t>Riptide Large Bore Aspiration Tubing</t>
        </is>
      </c>
      <c r="E56" s="4" t="inlineStr"/>
      <c r="F56" s="4" t="inlineStr">
        <is>
          <t>該当なし</t>
        </is>
      </c>
      <c r="G56" s="4" t="n"/>
      <c r="H56" s="4" t="inlineStr"/>
      <c r="I56" s="4" t="n"/>
      <c r="J56" s="4" t="n"/>
      <c r="K56" s="4" t="n"/>
      <c r="L56" s="4" t="n"/>
      <c r="M56" s="4" t="n"/>
      <c r="N56" s="4" t="inlineStr"/>
      <c r="O56" s="4" t="inlineStr">
        <is>
          <t>3-55-MAT-110-110.png</t>
        </is>
      </c>
      <c r="P56" s="4" t="inlineStr"/>
    </row>
    <row r="57">
      <c r="A57" s="4" t="n">
        <v>56</v>
      </c>
      <c r="B57" s="4" t="inlineStr">
        <is>
          <t>3</t>
        </is>
      </c>
      <c r="C57" s="4" t="inlineStr">
        <is>
          <t>XT275081</t>
        </is>
      </c>
      <c r="D57" s="4" t="inlineStr">
        <is>
          <t>Excelsior XT-27</t>
        </is>
      </c>
      <c r="E57" s="4" t="inlineStr"/>
      <c r="F57" s="4" t="inlineStr">
        <is>
          <t>該当なし</t>
        </is>
      </c>
      <c r="G57" s="4" t="n"/>
      <c r="H57" s="4" t="inlineStr"/>
      <c r="I57" s="4" t="n"/>
      <c r="J57" s="4" t="n"/>
      <c r="K57" s="4" t="n"/>
      <c r="L57" s="4" t="n"/>
      <c r="M57" s="4" t="n"/>
      <c r="N57" s="4" t="inlineStr"/>
      <c r="O57" s="4" t="inlineStr">
        <is>
          <t>3-56-XT275081.png</t>
        </is>
      </c>
      <c r="P57" s="4" t="inlineStr"/>
    </row>
    <row r="58">
      <c r="A58" t="n">
        <v>57</v>
      </c>
      <c r="B58" t="inlineStr">
        <is>
          <t>3</t>
        </is>
      </c>
      <c r="C58" t="inlineStr">
        <is>
          <t>OPTI0408CSS10</t>
        </is>
      </c>
      <c r="D58" t="inlineStr">
        <is>
          <t>OPTIMA</t>
        </is>
      </c>
      <c r="E58" t="inlineStr"/>
      <c r="F58" t="inlineStr">
        <is>
          <t>mask_16</t>
        </is>
      </c>
      <c r="G58" t="n">
        <v>100</v>
      </c>
      <c r="H58" t="inlineStr">
        <is>
          <t>spec_1</t>
        </is>
      </c>
      <c r="I58" t="n">
        <v>47.6</v>
      </c>
      <c r="J58" t="n">
        <v>100</v>
      </c>
      <c r="K58" t="n">
        <v>0</v>
      </c>
      <c r="L58" t="n">
        <v>100</v>
      </c>
      <c r="M58" t="n">
        <v>100</v>
      </c>
      <c r="N58" t="inlineStr"/>
      <c r="O58" t="inlineStr">
        <is>
          <t>3-57-OPTI0408CSS10.png</t>
        </is>
      </c>
      <c r="P58" t="inlineStr"/>
    </row>
    <row r="59">
      <c r="A59" t="n">
        <v>58</v>
      </c>
      <c r="B59" t="inlineStr">
        <is>
          <t>3</t>
        </is>
      </c>
      <c r="C59" t="inlineStr">
        <is>
          <t>ESC0305</t>
        </is>
      </c>
      <c r="D59" t="inlineStr">
        <is>
          <t>TransForm</t>
        </is>
      </c>
      <c r="E59" t="inlineStr"/>
      <c r="F59" t="inlineStr">
        <is>
          <t>mask_11</t>
        </is>
      </c>
      <c r="G59" t="n">
        <v>100</v>
      </c>
      <c r="H59" t="inlineStr">
        <is>
          <t>spec_1</t>
        </is>
      </c>
      <c r="I59" t="n">
        <v>100</v>
      </c>
      <c r="J59" t="n">
        <v>100</v>
      </c>
      <c r="K59" t="n">
        <v>100</v>
      </c>
      <c r="L59" t="n">
        <v>100</v>
      </c>
      <c r="M59" t="n">
        <v>0</v>
      </c>
      <c r="N59" t="inlineStr"/>
      <c r="O59" t="inlineStr">
        <is>
          <t>3-58-ESC0305.png</t>
        </is>
      </c>
      <c r="P59" t="inlineStr"/>
    </row>
    <row r="60">
      <c r="A60" t="n">
        <v>59</v>
      </c>
      <c r="B60" t="inlineStr">
        <is>
          <t>3</t>
        </is>
      </c>
      <c r="C60" t="inlineStr">
        <is>
          <t>MIV-2N316</t>
        </is>
      </c>
      <c r="D60" t="inlineStr">
        <is>
          <t>Defrictor</t>
        </is>
      </c>
      <c r="E60" t="inlineStr"/>
      <c r="F60" t="inlineStr">
        <is>
          <t>mask_13</t>
        </is>
      </c>
      <c r="G60" t="n">
        <v>100</v>
      </c>
      <c r="H60" t="inlineStr">
        <is>
          <t>display_name</t>
        </is>
      </c>
      <c r="I60" t="n">
        <v>55.6</v>
      </c>
      <c r="J60" t="n">
        <v>100</v>
      </c>
      <c r="K60" t="n">
        <v>75</v>
      </c>
      <c r="L60" t="n">
        <v>0</v>
      </c>
      <c r="M60" t="n">
        <v>0</v>
      </c>
      <c r="N60" t="inlineStr"/>
      <c r="O60" t="inlineStr">
        <is>
          <t>3-59-MIV-2N316.png</t>
        </is>
      </c>
      <c r="P60" t="inlineStr"/>
    </row>
    <row r="61">
      <c r="A61" t="n">
        <v>60</v>
      </c>
      <c r="B61" t="inlineStr">
        <is>
          <t>3</t>
        </is>
      </c>
      <c r="C61" t="inlineStr">
        <is>
          <t>OPTI0152CSS10</t>
        </is>
      </c>
      <c r="D61" t="inlineStr">
        <is>
          <t>OPTIMA</t>
        </is>
      </c>
      <c r="E61" t="inlineStr"/>
      <c r="F61" t="inlineStr">
        <is>
          <t>mask_15</t>
        </is>
      </c>
      <c r="G61" t="n">
        <v>100</v>
      </c>
      <c r="H61" t="inlineStr">
        <is>
          <t>spec_1</t>
        </is>
      </c>
      <c r="I61" t="n">
        <v>47.6</v>
      </c>
      <c r="J61" t="n">
        <v>100</v>
      </c>
      <c r="K61" t="n">
        <v>40</v>
      </c>
      <c r="L61" t="n">
        <v>100</v>
      </c>
      <c r="M61" t="n">
        <v>100</v>
      </c>
      <c r="N61" t="inlineStr"/>
      <c r="O61" t="inlineStr">
        <is>
          <t>3-60-OPTI0152CSS10.png</t>
        </is>
      </c>
      <c r="P61" t="inlineStr"/>
    </row>
    <row r="62">
      <c r="A62" t="n">
        <v>61</v>
      </c>
      <c r="B62" t="inlineStr">
        <is>
          <t>3</t>
        </is>
      </c>
      <c r="C62" t="inlineStr">
        <is>
          <t>C1775ST</t>
        </is>
      </c>
      <c r="D62" t="inlineStr">
        <is>
          <t>Excelsior XT-17</t>
        </is>
      </c>
      <c r="E62" t="inlineStr"/>
      <c r="F62" t="inlineStr">
        <is>
          <t>mask_10</t>
        </is>
      </c>
      <c r="G62" t="n">
        <v>80</v>
      </c>
      <c r="H62" t="inlineStr">
        <is>
          <t>spec_1</t>
        </is>
      </c>
      <c r="I62" t="n">
        <v>100</v>
      </c>
      <c r="J62" t="n">
        <v>93.3</v>
      </c>
      <c r="K62" t="n">
        <v>100</v>
      </c>
      <c r="L62" t="n">
        <v>80</v>
      </c>
      <c r="M62" t="n">
        <v>0</v>
      </c>
      <c r="N62" t="inlineStr"/>
      <c r="O62" t="inlineStr">
        <is>
          <t>3-61-C1775ST.png</t>
        </is>
      </c>
      <c r="P62" t="inlineStr"/>
    </row>
    <row r="63">
      <c r="A63" t="n">
        <v>62</v>
      </c>
      <c r="B63" t="inlineStr">
        <is>
          <t>3</t>
        </is>
      </c>
      <c r="C63" t="inlineStr">
        <is>
          <t>FG13160-0615-1S</t>
        </is>
      </c>
      <c r="D63" t="inlineStr">
        <is>
          <t>Phenom</t>
        </is>
      </c>
      <c r="E63" t="inlineStr"/>
      <c r="F63" t="inlineStr">
        <is>
          <t>mask_24</t>
        </is>
      </c>
      <c r="G63" t="n">
        <v>100</v>
      </c>
      <c r="H63" t="inlineStr">
        <is>
          <t>spec_2</t>
        </is>
      </c>
      <c r="I63" t="n">
        <v>80</v>
      </c>
      <c r="J63" t="n">
        <v>100</v>
      </c>
      <c r="K63" t="n">
        <v>87.5</v>
      </c>
      <c r="L63" t="n">
        <v>80</v>
      </c>
      <c r="M63" t="n">
        <v>100</v>
      </c>
      <c r="N63" t="inlineStr"/>
      <c r="O63" t="inlineStr">
        <is>
          <t>3-62-FG13160-0615-1S.png</t>
        </is>
      </c>
      <c r="P63" t="inlineStr"/>
    </row>
    <row r="64">
      <c r="A64" t="n">
        <v>63</v>
      </c>
      <c r="B64" t="inlineStr">
        <is>
          <t>3</t>
        </is>
      </c>
      <c r="C64" t="inlineStr">
        <is>
          <t>DAC6F115</t>
        </is>
      </c>
      <c r="D64" t="inlineStr">
        <is>
          <t>Esperance Distal Access Catheter</t>
        </is>
      </c>
      <c r="E64" t="inlineStr"/>
      <c r="F64" t="inlineStr">
        <is>
          <t>mask_5</t>
        </is>
      </c>
      <c r="G64" t="n">
        <v>100</v>
      </c>
      <c r="H64" t="inlineStr">
        <is>
          <t>spec_1</t>
        </is>
      </c>
      <c r="I64" t="n">
        <v>62.5</v>
      </c>
      <c r="J64" t="n">
        <v>59.4</v>
      </c>
      <c r="K64" t="n">
        <v>0</v>
      </c>
      <c r="L64" t="n">
        <v>100</v>
      </c>
      <c r="M64" t="n">
        <v>100</v>
      </c>
      <c r="N64" t="inlineStr"/>
      <c r="O64" t="inlineStr">
        <is>
          <t>3-63-DAC6F115.png</t>
        </is>
      </c>
      <c r="P64" t="inlineStr"/>
    </row>
    <row r="65">
      <c r="A65" t="n">
        <v>64</v>
      </c>
      <c r="B65" t="inlineStr">
        <is>
          <t>3</t>
        </is>
      </c>
      <c r="C65" t="inlineStr">
        <is>
          <t>SD-40040</t>
        </is>
      </c>
      <c r="D65" t="inlineStr">
        <is>
          <t>SHIDEN</t>
        </is>
      </c>
      <c r="E65" t="inlineStr"/>
      <c r="F65" t="inlineStr">
        <is>
          <t>mask_21</t>
        </is>
      </c>
      <c r="G65" t="n">
        <v>80</v>
      </c>
      <c r="H65" t="inlineStr">
        <is>
          <t>spec_2</t>
        </is>
      </c>
      <c r="I65" t="n">
        <v>100</v>
      </c>
      <c r="J65" t="n">
        <v>44.4</v>
      </c>
      <c r="K65" t="n">
        <v>0</v>
      </c>
      <c r="L65" t="n">
        <v>0</v>
      </c>
      <c r="M65" t="n">
        <v>80</v>
      </c>
      <c r="N65" t="inlineStr"/>
      <c r="O65" t="inlineStr">
        <is>
          <t>3-64-SD-40040.png</t>
        </is>
      </c>
      <c r="P65" t="inlineStr"/>
    </row>
    <row r="66">
      <c r="A66" t="n">
        <v>65</v>
      </c>
      <c r="B66" t="inlineStr">
        <is>
          <t>3</t>
        </is>
      </c>
      <c r="C66" t="inlineStr">
        <is>
          <t>KMDA044178</t>
        </is>
      </c>
      <c r="D66" t="inlineStr">
        <is>
          <t>Guidepost</t>
        </is>
      </c>
      <c r="E66" t="inlineStr"/>
      <c r="F66" t="inlineStr">
        <is>
          <t>mask_2</t>
        </is>
      </c>
      <c r="G66" t="n">
        <v>80</v>
      </c>
      <c r="H66" t="inlineStr">
        <is>
          <t>spec_1</t>
        </is>
      </c>
      <c r="I66" t="n">
        <v>100</v>
      </c>
      <c r="J66" t="n">
        <v>11.8</v>
      </c>
      <c r="K66" t="n">
        <v>14.3</v>
      </c>
      <c r="L66" t="n">
        <v>80</v>
      </c>
      <c r="M66" t="n">
        <v>0</v>
      </c>
      <c r="N66" t="inlineStr"/>
      <c r="O66" t="inlineStr">
        <is>
          <t>3-65-KMDA044178.png</t>
        </is>
      </c>
      <c r="P66" t="inlineStr"/>
    </row>
    <row r="67">
      <c r="A67" s="4" t="n">
        <v>66</v>
      </c>
      <c r="B67" s="4" t="inlineStr">
        <is>
          <t>3</t>
        </is>
      </c>
      <c r="C67" s="4" t="inlineStr">
        <is>
          <t>APB-1.5-2-HX-ES</t>
        </is>
      </c>
      <c r="D67" s="4" t="inlineStr">
        <is>
          <t>Axium Prime</t>
        </is>
      </c>
      <c r="E67" s="4" t="inlineStr"/>
      <c r="F67" s="4" t="inlineStr">
        <is>
          <t>該当なし</t>
        </is>
      </c>
      <c r="G67" s="4" t="n"/>
      <c r="H67" s="4" t="inlineStr"/>
      <c r="I67" s="4" t="n"/>
      <c r="J67" s="4" t="n"/>
      <c r="K67" s="4" t="n"/>
      <c r="L67" s="4" t="n"/>
      <c r="M67" s="4" t="n"/>
      <c r="N67" s="4" t="inlineStr"/>
      <c r="O67" s="4" t="inlineStr">
        <is>
          <t>3-66-APB-1.5-2-HX-ES.png</t>
        </is>
      </c>
      <c r="P67" s="4" t="inlineStr"/>
    </row>
    <row r="68">
      <c r="A68" s="4" t="n">
        <v>67</v>
      </c>
      <c r="B68" s="4" t="inlineStr">
        <is>
          <t>3</t>
        </is>
      </c>
      <c r="C68" s="4" t="inlineStr">
        <is>
          <t>SS2-40-070H</t>
        </is>
      </c>
      <c r="D68" s="4" t="inlineStr">
        <is>
          <t>SHOURYU2</t>
        </is>
      </c>
      <c r="E68" s="4" t="inlineStr"/>
      <c r="F68" s="4" t="inlineStr">
        <is>
          <t>該当なし</t>
        </is>
      </c>
      <c r="G68" s="4" t="n"/>
      <c r="H68" s="4" t="inlineStr"/>
      <c r="I68" s="4" t="n"/>
      <c r="J68" s="4" t="n"/>
      <c r="K68" s="4" t="n"/>
      <c r="L68" s="4" t="n"/>
      <c r="M68" s="4" t="n"/>
      <c r="N68" s="4" t="inlineStr"/>
      <c r="O68" s="4" t="inlineStr">
        <is>
          <t>3-67-SS2-40-070H.png</t>
        </is>
      </c>
      <c r="P68" s="4" t="inlineStr"/>
    </row>
    <row r="69">
      <c r="A69" t="n">
        <v>68</v>
      </c>
      <c r="B69" t="inlineStr">
        <is>
          <t>3</t>
        </is>
      </c>
      <c r="C69" t="inlineStr">
        <is>
          <t>1681189</t>
        </is>
      </c>
      <c r="D69" t="inlineStr">
        <is>
          <t>Excelsior SL-10</t>
        </is>
      </c>
      <c r="E69" t="inlineStr"/>
      <c r="F69" t="inlineStr">
        <is>
          <t>mask_17</t>
        </is>
      </c>
      <c r="G69" t="n">
        <v>100</v>
      </c>
      <c r="H69" t="inlineStr">
        <is>
          <t>spec_1</t>
        </is>
      </c>
      <c r="I69" t="n">
        <v>85.7</v>
      </c>
      <c r="J69" t="n">
        <v>100</v>
      </c>
      <c r="K69" t="n">
        <v>100</v>
      </c>
      <c r="L69" t="n">
        <v>100</v>
      </c>
      <c r="M69" t="n">
        <v>0</v>
      </c>
      <c r="N69" t="inlineStr"/>
      <c r="O69" t="inlineStr">
        <is>
          <t>3-68-1681189.png</t>
        </is>
      </c>
      <c r="P69" t="inlineStr"/>
    </row>
    <row r="70">
      <c r="A70" t="n">
        <v>69</v>
      </c>
      <c r="B70" t="inlineStr">
        <is>
          <t>3</t>
        </is>
      </c>
      <c r="C70" t="inlineStr">
        <is>
          <t>10CSW01010</t>
        </is>
      </c>
      <c r="D70" t="inlineStr">
        <is>
          <t>Wallaby Avenir Coil System</t>
        </is>
      </c>
      <c r="E70" t="inlineStr"/>
      <c r="F70" t="inlineStr">
        <is>
          <t>mask_12</t>
        </is>
      </c>
      <c r="G70" t="n">
        <v>80</v>
      </c>
      <c r="H70" t="inlineStr">
        <is>
          <t>spec_2</t>
        </is>
      </c>
      <c r="I70" t="n">
        <v>42.1</v>
      </c>
      <c r="J70" t="n">
        <v>65.40000000000001</v>
      </c>
      <c r="K70" t="n">
        <v>100</v>
      </c>
      <c r="L70" t="n">
        <v>0</v>
      </c>
      <c r="M70" t="n">
        <v>80</v>
      </c>
      <c r="N70" t="inlineStr"/>
      <c r="O70" t="inlineStr">
        <is>
          <t>3-69-10CSW01010.png</t>
        </is>
      </c>
      <c r="P70" t="inlineStr"/>
    </row>
    <row r="71">
      <c r="A71" t="n">
        <v>70</v>
      </c>
      <c r="B71" t="inlineStr">
        <is>
          <t>3</t>
        </is>
      </c>
      <c r="C71" t="inlineStr">
        <is>
          <t>OPTI0204CSS10</t>
        </is>
      </c>
      <c r="D71" t="inlineStr">
        <is>
          <t>OPTIMA</t>
        </is>
      </c>
      <c r="E71" t="inlineStr"/>
      <c r="F71" t="inlineStr">
        <is>
          <t>mask_23</t>
        </is>
      </c>
      <c r="G71" t="n">
        <v>100</v>
      </c>
      <c r="H71" t="inlineStr">
        <is>
          <t>spec_1</t>
        </is>
      </c>
      <c r="I71" t="n">
        <v>47.6</v>
      </c>
      <c r="J71" t="n">
        <v>100</v>
      </c>
      <c r="K71" t="n">
        <v>0</v>
      </c>
      <c r="L71" t="n">
        <v>100</v>
      </c>
      <c r="M71" t="n">
        <v>100</v>
      </c>
      <c r="N71" t="inlineStr"/>
      <c r="O71" t="inlineStr">
        <is>
          <t>3-70-OPTI0204CSS10.png</t>
        </is>
      </c>
      <c r="P71" t="inlineStr"/>
    </row>
    <row r="72">
      <c r="A72" s="4" t="n">
        <v>71</v>
      </c>
      <c r="B72" s="4" t="inlineStr">
        <is>
          <t>3</t>
        </is>
      </c>
      <c r="C72" s="4" t="inlineStr">
        <is>
          <t>SSTD215STR</t>
        </is>
      </c>
      <c r="D72" s="4" t="inlineStr">
        <is>
          <t>Synchro SELECT</t>
        </is>
      </c>
      <c r="E72" s="4" t="inlineStr"/>
      <c r="F72" s="4" t="inlineStr">
        <is>
          <t>該当なし</t>
        </is>
      </c>
      <c r="G72" s="4" t="n"/>
      <c r="H72" s="4" t="inlineStr"/>
      <c r="I72" s="4" t="n"/>
      <c r="J72" s="4" t="n"/>
      <c r="K72" s="4" t="n"/>
      <c r="L72" s="4" t="n"/>
      <c r="M72" s="4" t="n"/>
      <c r="N72" s="4" t="inlineStr"/>
      <c r="O72" s="4" t="inlineStr">
        <is>
          <t>3-71-SSTD215STR.png</t>
        </is>
      </c>
      <c r="P72" s="4" t="inlineStr"/>
    </row>
    <row r="73">
      <c r="A73" s="4" t="n">
        <v>72</v>
      </c>
      <c r="B73" s="4" t="inlineStr">
        <is>
          <t>3</t>
        </is>
      </c>
      <c r="C73" s="4" t="inlineStr">
        <is>
          <t>373-040830</t>
        </is>
      </c>
      <c r="D73" s="4" t="inlineStr">
        <is>
          <t>i-ED COIL</t>
        </is>
      </c>
      <c r="E73" s="4" t="inlineStr"/>
      <c r="F73" s="4" t="inlineStr">
        <is>
          <t>該当なし</t>
        </is>
      </c>
      <c r="G73" s="4" t="n"/>
      <c r="H73" s="4" t="inlineStr"/>
      <c r="I73" s="4" t="n"/>
      <c r="J73" s="4" t="n"/>
      <c r="K73" s="4" t="n"/>
      <c r="L73" s="4" t="n"/>
      <c r="M73" s="4" t="n"/>
      <c r="N73" s="4" t="inlineStr"/>
      <c r="O73" s="4" t="inlineStr">
        <is>
          <t>3-72-373-040830.png</t>
        </is>
      </c>
      <c r="P73" s="4" t="inlineStr"/>
    </row>
    <row r="74">
      <c r="A74" t="n">
        <v>73</v>
      </c>
      <c r="B74" t="inlineStr">
        <is>
          <t>3</t>
        </is>
      </c>
      <c r="C74" t="inlineStr">
        <is>
          <t>612104</t>
        </is>
      </c>
      <c r="D74" t="inlineStr">
        <is>
          <t>Target XL</t>
        </is>
      </c>
      <c r="E74" t="inlineStr"/>
      <c r="F74" t="inlineStr">
        <is>
          <t>mask_4</t>
        </is>
      </c>
      <c r="G74" t="n">
        <v>80</v>
      </c>
      <c r="H74" t="inlineStr">
        <is>
          <t>spec_1</t>
        </is>
      </c>
      <c r="I74" t="n">
        <v>100</v>
      </c>
      <c r="J74" t="n">
        <v>88.90000000000001</v>
      </c>
      <c r="K74" t="n">
        <v>62.5</v>
      </c>
      <c r="L74" t="n">
        <v>80</v>
      </c>
      <c r="M74" t="n">
        <v>80</v>
      </c>
      <c r="N74" t="inlineStr"/>
      <c r="O74" t="inlineStr">
        <is>
          <t>3-73-612104.png</t>
        </is>
      </c>
      <c r="P74" t="inlineStr"/>
    </row>
    <row r="75">
      <c r="A75" t="n">
        <v>74</v>
      </c>
      <c r="B75" t="inlineStr">
        <is>
          <t>3</t>
        </is>
      </c>
      <c r="C75" t="inlineStr">
        <is>
          <t>MC1715000</t>
        </is>
      </c>
      <c r="D75" t="inlineStr">
        <is>
          <t>pNOVUS</t>
        </is>
      </c>
      <c r="E75" t="inlineStr"/>
      <c r="F75" t="inlineStr">
        <is>
          <t>mask_3</t>
        </is>
      </c>
      <c r="G75" t="n">
        <v>80</v>
      </c>
      <c r="H75" t="inlineStr">
        <is>
          <t>spec_1</t>
        </is>
      </c>
      <c r="I75" t="n">
        <v>66.7</v>
      </c>
      <c r="J75" t="n">
        <v>83.3</v>
      </c>
      <c r="K75" t="n">
        <v>0</v>
      </c>
      <c r="L75" t="n">
        <v>80</v>
      </c>
      <c r="M75" t="n">
        <v>80</v>
      </c>
      <c r="N75" t="inlineStr"/>
      <c r="O75" t="inlineStr">
        <is>
          <t>3-74-MC1715000.png</t>
        </is>
      </c>
      <c r="P75" t="inlineStr"/>
    </row>
    <row r="76">
      <c r="A76" s="4" t="n">
        <v>75</v>
      </c>
      <c r="B76" s="4" t="inlineStr">
        <is>
          <t>3</t>
        </is>
      </c>
      <c r="C76" s="4" t="inlineStr">
        <is>
          <t>APB-2-3-HX-ES</t>
        </is>
      </c>
      <c r="D76" s="4" t="inlineStr">
        <is>
          <t>Axium Prime</t>
        </is>
      </c>
      <c r="E76" s="4" t="inlineStr"/>
      <c r="F76" s="4" t="inlineStr">
        <is>
          <t>該当なし</t>
        </is>
      </c>
      <c r="G76" s="4" t="n"/>
      <c r="H76" s="4" t="inlineStr"/>
      <c r="I76" s="4" t="n"/>
      <c r="J76" s="4" t="n"/>
      <c r="K76" s="4" t="n"/>
      <c r="L76" s="4" t="n"/>
      <c r="M76" s="4" t="n"/>
      <c r="N76" s="4" t="inlineStr"/>
      <c r="O76" s="4" t="inlineStr">
        <is>
          <t>3-75-APB-2-3-HX-ES.png</t>
        </is>
      </c>
      <c r="P76" s="4" t="inlineStr"/>
    </row>
    <row r="77">
      <c r="A77" t="n">
        <v>76</v>
      </c>
      <c r="B77" t="inlineStr">
        <is>
          <t>4</t>
        </is>
      </c>
      <c r="C77" t="inlineStr">
        <is>
          <t>10CSW02020</t>
        </is>
      </c>
      <c r="D77" t="inlineStr">
        <is>
          <t>Wallaby Avenir Coil System</t>
        </is>
      </c>
      <c r="E77" t="inlineStr"/>
      <c r="F77" t="inlineStr">
        <is>
          <t>mask_13</t>
        </is>
      </c>
      <c r="G77" t="n">
        <v>61.5</v>
      </c>
      <c r="H77" t="inlineStr">
        <is>
          <t>display_name</t>
        </is>
      </c>
      <c r="I77" t="n">
        <v>50</v>
      </c>
      <c r="J77" t="n">
        <v>61.5</v>
      </c>
      <c r="K77" t="n">
        <v>75</v>
      </c>
      <c r="L77" t="n">
        <v>0</v>
      </c>
      <c r="M77" t="n">
        <v>0</v>
      </c>
      <c r="N77" t="inlineStr"/>
      <c r="O77" t="inlineStr">
        <is>
          <t>4-76-10CSW02020.png</t>
        </is>
      </c>
      <c r="P77" t="inlineStr"/>
    </row>
    <row r="78">
      <c r="A78" t="n">
        <v>77</v>
      </c>
      <c r="B78" t="inlineStr">
        <is>
          <t>4</t>
        </is>
      </c>
      <c r="C78" t="inlineStr">
        <is>
          <t>AIN-CKI-200R</t>
        </is>
      </c>
      <c r="D78" t="inlineStr">
        <is>
          <t>CHIKAI</t>
        </is>
      </c>
      <c r="E78" t="inlineStr"/>
      <c r="F78" t="inlineStr">
        <is>
          <t>mask_2</t>
        </is>
      </c>
      <c r="G78" t="n">
        <v>100</v>
      </c>
      <c r="H78" t="inlineStr">
        <is>
          <t>spec_2</t>
        </is>
      </c>
      <c r="I78" t="n">
        <v>41.7</v>
      </c>
      <c r="J78" t="n">
        <v>100</v>
      </c>
      <c r="K78" t="n">
        <v>0</v>
      </c>
      <c r="L78" t="n">
        <v>0</v>
      </c>
      <c r="M78" t="n">
        <v>100</v>
      </c>
      <c r="N78" t="inlineStr"/>
      <c r="O78" t="inlineStr">
        <is>
          <t>4-77-AIN-CKI-200R.png</t>
        </is>
      </c>
      <c r="P78" t="inlineStr"/>
    </row>
    <row r="79">
      <c r="A79" s="4" t="n">
        <v>78</v>
      </c>
      <c r="B79" s="4" t="inlineStr">
        <is>
          <t>4</t>
        </is>
      </c>
      <c r="C79" s="4" t="inlineStr">
        <is>
          <t>MONORAIL</t>
        </is>
      </c>
      <c r="D79" s="4" t="inlineStr">
        <is>
          <t>Coyote ES</t>
        </is>
      </c>
      <c r="E79" s="4" t="inlineStr"/>
      <c r="F79" s="4" t="inlineStr">
        <is>
          <t>該当なし</t>
        </is>
      </c>
      <c r="G79" s="4" t="n"/>
      <c r="H79" s="4" t="inlineStr"/>
      <c r="I79" s="4" t="n"/>
      <c r="J79" s="4" t="n"/>
      <c r="K79" s="4" t="n"/>
      <c r="L79" s="4" t="n"/>
      <c r="M79" s="4" t="n"/>
      <c r="N79" s="4" t="inlineStr"/>
      <c r="O79" s="4" t="inlineStr">
        <is>
          <t>4-78-MONORAIL.png</t>
        </is>
      </c>
      <c r="P79" s="4" t="inlineStr"/>
    </row>
    <row r="80">
      <c r="A80" t="n">
        <v>79</v>
      </c>
      <c r="B80" t="inlineStr">
        <is>
          <t>4</t>
        </is>
      </c>
      <c r="C80" t="inlineStr">
        <is>
          <t>ESC0407</t>
        </is>
      </c>
      <c r="D80" t="inlineStr">
        <is>
          <t>TransForm</t>
        </is>
      </c>
      <c r="E80" t="inlineStr"/>
      <c r="F80" t="inlineStr">
        <is>
          <t>mask_6</t>
        </is>
      </c>
      <c r="G80" t="n">
        <v>100</v>
      </c>
      <c r="H80" t="inlineStr">
        <is>
          <t>ref</t>
        </is>
      </c>
      <c r="I80" t="n">
        <v>100</v>
      </c>
      <c r="J80" t="n">
        <v>100</v>
      </c>
      <c r="K80" t="n">
        <v>62.5</v>
      </c>
      <c r="L80" t="n">
        <v>0</v>
      </c>
      <c r="M80" t="n">
        <v>0</v>
      </c>
      <c r="N80" t="inlineStr"/>
      <c r="O80" t="inlineStr">
        <is>
          <t>4-79-ESC0407.png</t>
        </is>
      </c>
      <c r="P80" t="inlineStr"/>
    </row>
    <row r="81">
      <c r="A81" t="n">
        <v>80</v>
      </c>
      <c r="B81" t="inlineStr">
        <is>
          <t>4</t>
        </is>
      </c>
      <c r="C81" t="inlineStr">
        <is>
          <t>MAT-110-110</t>
        </is>
      </c>
      <c r="D81" t="inlineStr">
        <is>
          <t>Riptide Large Bore Aspiration Tubing</t>
        </is>
      </c>
      <c r="E81" t="inlineStr"/>
      <c r="F81" t="inlineStr">
        <is>
          <t>mask_16</t>
        </is>
      </c>
      <c r="G81" t="n">
        <v>100</v>
      </c>
      <c r="H81" t="inlineStr">
        <is>
          <t>spec_2</t>
        </is>
      </c>
      <c r="I81" t="n">
        <v>100</v>
      </c>
      <c r="J81" t="n">
        <v>78.90000000000001</v>
      </c>
      <c r="K81" t="n">
        <v>100</v>
      </c>
      <c r="L81" t="n">
        <v>80</v>
      </c>
      <c r="M81" t="n">
        <v>100</v>
      </c>
      <c r="N81" t="inlineStr"/>
      <c r="O81" t="inlineStr">
        <is>
          <t>4-80-MAT-110-110.png</t>
        </is>
      </c>
      <c r="P81" t="inlineStr"/>
    </row>
    <row r="82">
      <c r="A82" s="4" t="n">
        <v>81</v>
      </c>
      <c r="B82" s="4" t="inlineStr">
        <is>
          <t>4</t>
        </is>
      </c>
      <c r="C82" s="4" t="inlineStr">
        <is>
          <t>XT275081</t>
        </is>
      </c>
      <c r="D82" s="4" t="inlineStr">
        <is>
          <t>Excelsior XT-27</t>
        </is>
      </c>
      <c r="E82" s="4" t="inlineStr"/>
      <c r="F82" s="4" t="inlineStr">
        <is>
          <t>該当なし</t>
        </is>
      </c>
      <c r="G82" s="4" t="n"/>
      <c r="H82" s="4" t="inlineStr"/>
      <c r="I82" s="4" t="n"/>
      <c r="J82" s="4" t="n"/>
      <c r="K82" s="4" t="n"/>
      <c r="L82" s="4" t="n"/>
      <c r="M82" s="4" t="n"/>
      <c r="N82" s="4" t="inlineStr"/>
      <c r="O82" s="4" t="inlineStr">
        <is>
          <t>4-81-XT275081.png</t>
        </is>
      </c>
      <c r="P82" s="4" t="inlineStr"/>
    </row>
    <row r="83">
      <c r="A83" t="n">
        <v>82</v>
      </c>
      <c r="B83" t="inlineStr">
        <is>
          <t>4</t>
        </is>
      </c>
      <c r="C83" t="inlineStr">
        <is>
          <t>OPTI0408CSS10</t>
        </is>
      </c>
      <c r="D83" t="inlineStr">
        <is>
          <t>OPTIMA</t>
        </is>
      </c>
      <c r="E83" t="inlineStr"/>
      <c r="F83" t="inlineStr">
        <is>
          <t>mask_23</t>
        </is>
      </c>
      <c r="G83" t="n">
        <v>100</v>
      </c>
      <c r="H83" t="inlineStr">
        <is>
          <t>spec_1</t>
        </is>
      </c>
      <c r="I83" t="n">
        <v>47.6</v>
      </c>
      <c r="J83" t="n">
        <v>100</v>
      </c>
      <c r="K83" t="n">
        <v>0</v>
      </c>
      <c r="L83" t="n">
        <v>100</v>
      </c>
      <c r="M83" t="n">
        <v>100</v>
      </c>
      <c r="N83" t="inlineStr"/>
      <c r="O83" t="inlineStr">
        <is>
          <t>4-82-OPTI0408CSS10.png</t>
        </is>
      </c>
      <c r="P83" t="inlineStr"/>
    </row>
    <row r="84">
      <c r="A84" t="n">
        <v>83</v>
      </c>
      <c r="B84" t="inlineStr">
        <is>
          <t>4</t>
        </is>
      </c>
      <c r="C84" t="inlineStr">
        <is>
          <t>ESC0305</t>
        </is>
      </c>
      <c r="D84" t="inlineStr">
        <is>
          <t>TransForm</t>
        </is>
      </c>
      <c r="E84" t="inlineStr"/>
      <c r="F84" t="inlineStr">
        <is>
          <t>mask_7</t>
        </is>
      </c>
      <c r="G84" t="n">
        <v>100</v>
      </c>
      <c r="H84" t="inlineStr">
        <is>
          <t>spec_1</t>
        </is>
      </c>
      <c r="I84" t="n">
        <v>100</v>
      </c>
      <c r="J84" t="n">
        <v>100</v>
      </c>
      <c r="K84" t="n">
        <v>100</v>
      </c>
      <c r="L84" t="n">
        <v>100</v>
      </c>
      <c r="M84" t="n">
        <v>80</v>
      </c>
      <c r="N84" t="inlineStr"/>
      <c r="O84" t="inlineStr">
        <is>
          <t>4-83-ESC0305.png</t>
        </is>
      </c>
      <c r="P84" t="inlineStr"/>
    </row>
    <row r="85">
      <c r="A85" t="n">
        <v>84</v>
      </c>
      <c r="B85" t="inlineStr">
        <is>
          <t>4</t>
        </is>
      </c>
      <c r="C85" t="inlineStr">
        <is>
          <t>MIV-2N316</t>
        </is>
      </c>
      <c r="D85" t="inlineStr">
        <is>
          <t>Defrictor</t>
        </is>
      </c>
      <c r="E85" t="inlineStr"/>
      <c r="F85" t="inlineStr">
        <is>
          <t>mask_12</t>
        </is>
      </c>
      <c r="G85" t="n">
        <v>100</v>
      </c>
      <c r="H85" t="inlineStr">
        <is>
          <t>display_name</t>
        </is>
      </c>
      <c r="I85" t="n">
        <v>77.8</v>
      </c>
      <c r="J85" t="n">
        <v>100</v>
      </c>
      <c r="K85" t="n">
        <v>80</v>
      </c>
      <c r="L85" t="n">
        <v>0</v>
      </c>
      <c r="M85" t="n">
        <v>0</v>
      </c>
      <c r="N85" t="inlineStr"/>
      <c r="O85" t="inlineStr">
        <is>
          <t>4-84-MIV-2N316.png</t>
        </is>
      </c>
      <c r="P85" t="inlineStr"/>
    </row>
    <row r="86">
      <c r="A86" t="n">
        <v>85</v>
      </c>
      <c r="B86" t="inlineStr">
        <is>
          <t>4</t>
        </is>
      </c>
      <c r="C86" t="inlineStr">
        <is>
          <t>OPTI0152CSS10</t>
        </is>
      </c>
      <c r="D86" t="inlineStr">
        <is>
          <t>OPTIMA</t>
        </is>
      </c>
      <c r="E86" t="inlineStr"/>
      <c r="F86" t="inlineStr">
        <is>
          <t>mask_28</t>
        </is>
      </c>
      <c r="G86" t="n">
        <v>100</v>
      </c>
      <c r="H86" t="inlineStr">
        <is>
          <t>spec_2</t>
        </is>
      </c>
      <c r="I86" t="n">
        <v>47.1</v>
      </c>
      <c r="J86" t="n">
        <v>100</v>
      </c>
      <c r="K86" t="n">
        <v>0</v>
      </c>
      <c r="L86" t="n">
        <v>80</v>
      </c>
      <c r="M86" t="n">
        <v>100</v>
      </c>
      <c r="N86" t="inlineStr"/>
      <c r="O86" t="inlineStr">
        <is>
          <t>4-85-OPTI0152CSS10.png</t>
        </is>
      </c>
      <c r="P86" t="inlineStr"/>
    </row>
    <row r="87">
      <c r="A87" t="n">
        <v>86</v>
      </c>
      <c r="B87" t="inlineStr">
        <is>
          <t>4</t>
        </is>
      </c>
      <c r="C87" t="inlineStr">
        <is>
          <t>C1775ST</t>
        </is>
      </c>
      <c r="D87" t="inlineStr">
        <is>
          <t>Excelsior XT-17</t>
        </is>
      </c>
      <c r="E87" t="inlineStr"/>
      <c r="F87" t="inlineStr">
        <is>
          <t>mask_4</t>
        </is>
      </c>
      <c r="G87" t="n">
        <v>93.3</v>
      </c>
      <c r="H87" t="inlineStr">
        <is>
          <t>display_name</t>
        </is>
      </c>
      <c r="I87" t="n">
        <v>85.7</v>
      </c>
      <c r="J87" t="n">
        <v>93.3</v>
      </c>
      <c r="K87" t="n">
        <v>100</v>
      </c>
      <c r="L87" t="n">
        <v>0</v>
      </c>
      <c r="M87" t="n">
        <v>0</v>
      </c>
      <c r="N87" t="inlineStr"/>
      <c r="O87" t="inlineStr">
        <is>
          <t>4-86-C1775ST.png</t>
        </is>
      </c>
      <c r="P87" t="inlineStr"/>
    </row>
    <row r="88">
      <c r="A88" t="n">
        <v>87</v>
      </c>
      <c r="B88" t="inlineStr">
        <is>
          <t>4</t>
        </is>
      </c>
      <c r="C88" t="inlineStr">
        <is>
          <t>FG13160-0615-1S</t>
        </is>
      </c>
      <c r="D88" t="inlineStr">
        <is>
          <t>Phenom</t>
        </is>
      </c>
      <c r="E88" t="inlineStr"/>
      <c r="F88" t="inlineStr">
        <is>
          <t>mask_17</t>
        </is>
      </c>
      <c r="G88" t="n">
        <v>100</v>
      </c>
      <c r="H88" t="inlineStr">
        <is>
          <t>spec_2</t>
        </is>
      </c>
      <c r="I88" t="n">
        <v>86.7</v>
      </c>
      <c r="J88" t="n">
        <v>33.3</v>
      </c>
      <c r="K88" t="n">
        <v>100</v>
      </c>
      <c r="L88" t="n">
        <v>0</v>
      </c>
      <c r="M88" t="n">
        <v>100</v>
      </c>
      <c r="N88" t="inlineStr"/>
      <c r="O88" t="inlineStr">
        <is>
          <t>4-87-FG13160-0615-1S.png</t>
        </is>
      </c>
      <c r="P88" t="inlineStr"/>
    </row>
    <row r="89">
      <c r="A89" t="n">
        <v>88</v>
      </c>
      <c r="B89" t="inlineStr">
        <is>
          <t>4</t>
        </is>
      </c>
      <c r="C89" t="inlineStr">
        <is>
          <t>DAC6F115</t>
        </is>
      </c>
      <c r="D89" t="inlineStr">
        <is>
          <t>Esperance Distal Access Catheter</t>
        </is>
      </c>
      <c r="E89" t="inlineStr"/>
      <c r="F89" t="inlineStr">
        <is>
          <t>mask_3</t>
        </is>
      </c>
      <c r="G89" t="n">
        <v>100</v>
      </c>
      <c r="H89" t="inlineStr">
        <is>
          <t>spec_2</t>
        </is>
      </c>
      <c r="I89" t="n">
        <v>75</v>
      </c>
      <c r="J89" t="n">
        <v>28.6</v>
      </c>
      <c r="K89" t="n">
        <v>0</v>
      </c>
      <c r="L89" t="n">
        <v>0</v>
      </c>
      <c r="M89" t="n">
        <v>100</v>
      </c>
      <c r="N89" t="inlineStr"/>
      <c r="O89" t="inlineStr">
        <is>
          <t>4-88-DAC6F115.png</t>
        </is>
      </c>
      <c r="P89" t="inlineStr"/>
    </row>
    <row r="90">
      <c r="A90" s="4" t="n">
        <v>89</v>
      </c>
      <c r="B90" s="4" t="inlineStr">
        <is>
          <t>4</t>
        </is>
      </c>
      <c r="C90" s="4" t="inlineStr">
        <is>
          <t>SD-40040</t>
        </is>
      </c>
      <c r="D90" s="4" t="inlineStr">
        <is>
          <t>SHIDEN</t>
        </is>
      </c>
      <c r="E90" s="4" t="inlineStr"/>
      <c r="F90" s="4" t="inlineStr">
        <is>
          <t>該当なし</t>
        </is>
      </c>
      <c r="G90" s="4" t="n"/>
      <c r="H90" s="4" t="inlineStr"/>
      <c r="I90" s="4" t="n"/>
      <c r="J90" s="4" t="n"/>
      <c r="K90" s="4" t="n"/>
      <c r="L90" s="4" t="n"/>
      <c r="M90" s="4" t="n"/>
      <c r="N90" s="4" t="inlineStr"/>
      <c r="O90" s="4" t="inlineStr">
        <is>
          <t>4-89-SD-40040.png</t>
        </is>
      </c>
      <c r="P90" s="4" t="inlineStr"/>
    </row>
    <row r="91">
      <c r="A91" t="n">
        <v>90</v>
      </c>
      <c r="B91" t="inlineStr">
        <is>
          <t>4</t>
        </is>
      </c>
      <c r="C91" t="inlineStr">
        <is>
          <t>KMDA044178</t>
        </is>
      </c>
      <c r="D91" t="inlineStr">
        <is>
          <t>Guidepost</t>
        </is>
      </c>
      <c r="E91" t="inlineStr"/>
      <c r="F91" t="inlineStr">
        <is>
          <t>mask_1</t>
        </is>
      </c>
      <c r="G91" t="n">
        <v>100</v>
      </c>
      <c r="H91" t="inlineStr">
        <is>
          <t>spec_2</t>
        </is>
      </c>
      <c r="I91" t="n">
        <v>100</v>
      </c>
      <c r="J91" t="n">
        <v>70.59999999999999</v>
      </c>
      <c r="K91" t="n">
        <v>14.3</v>
      </c>
      <c r="L91" t="n">
        <v>0</v>
      </c>
      <c r="M91" t="n">
        <v>100</v>
      </c>
      <c r="N91" t="inlineStr"/>
      <c r="O91" t="inlineStr">
        <is>
          <t>4-90-KMDA044178.png</t>
        </is>
      </c>
      <c r="P91" t="inlineStr"/>
    </row>
    <row r="92">
      <c r="A92" t="n">
        <v>91</v>
      </c>
      <c r="B92" t="inlineStr">
        <is>
          <t>4</t>
        </is>
      </c>
      <c r="C92" t="inlineStr">
        <is>
          <t>APB-1.5-2-HX-ES</t>
        </is>
      </c>
      <c r="D92" t="inlineStr">
        <is>
          <t>Axium Prime</t>
        </is>
      </c>
      <c r="E92" t="inlineStr"/>
      <c r="F92" t="inlineStr">
        <is>
          <t>mask_21</t>
        </is>
      </c>
      <c r="G92" t="n">
        <v>88.90000000000001</v>
      </c>
      <c r="H92" t="inlineStr">
        <is>
          <t>ref</t>
        </is>
      </c>
      <c r="I92" t="n">
        <v>88.90000000000001</v>
      </c>
      <c r="J92" t="n">
        <v>54.5</v>
      </c>
      <c r="K92" t="n">
        <v>0</v>
      </c>
      <c r="L92" t="n">
        <v>0</v>
      </c>
      <c r="M92" t="n">
        <v>0</v>
      </c>
      <c r="N92" t="inlineStr"/>
      <c r="O92" t="inlineStr">
        <is>
          <t>4-91-APB-1.5-2-HX-ES.png</t>
        </is>
      </c>
      <c r="P92" t="inlineStr"/>
    </row>
    <row r="93">
      <c r="A93" s="4" t="n">
        <v>92</v>
      </c>
      <c r="B93" s="4" t="inlineStr">
        <is>
          <t>4</t>
        </is>
      </c>
      <c r="C93" s="4" t="inlineStr">
        <is>
          <t>SS2-40-070H</t>
        </is>
      </c>
      <c r="D93" s="4" t="inlineStr">
        <is>
          <t>SHOURYU2</t>
        </is>
      </c>
      <c r="E93" s="4" t="inlineStr"/>
      <c r="F93" s="4" t="inlineStr">
        <is>
          <t>該当なし</t>
        </is>
      </c>
      <c r="G93" s="4" t="n"/>
      <c r="H93" s="4" t="inlineStr"/>
      <c r="I93" s="4" t="n"/>
      <c r="J93" s="4" t="n"/>
      <c r="K93" s="4" t="n"/>
      <c r="L93" s="4" t="n"/>
      <c r="M93" s="4" t="n"/>
      <c r="N93" s="4" t="inlineStr"/>
      <c r="O93" s="4" t="inlineStr">
        <is>
          <t>4-92-SS2-40-070H.png</t>
        </is>
      </c>
      <c r="P93" s="4" t="inlineStr"/>
    </row>
    <row r="94">
      <c r="A94" t="n">
        <v>93</v>
      </c>
      <c r="B94" t="inlineStr">
        <is>
          <t>4</t>
        </is>
      </c>
      <c r="C94" t="inlineStr">
        <is>
          <t>1681189</t>
        </is>
      </c>
      <c r="D94" t="inlineStr">
        <is>
          <t>Excelsior SL-10</t>
        </is>
      </c>
      <c r="E94" t="inlineStr"/>
      <c r="F94" t="inlineStr">
        <is>
          <t>mask_14</t>
        </is>
      </c>
      <c r="G94" t="n">
        <v>100</v>
      </c>
      <c r="H94" t="inlineStr">
        <is>
          <t>spec_1</t>
        </is>
      </c>
      <c r="I94" t="n">
        <v>85.7</v>
      </c>
      <c r="J94" t="n">
        <v>93.3</v>
      </c>
      <c r="K94" t="n">
        <v>100</v>
      </c>
      <c r="L94" t="n">
        <v>100</v>
      </c>
      <c r="M94" t="n">
        <v>0</v>
      </c>
      <c r="N94" t="inlineStr"/>
      <c r="O94" t="inlineStr">
        <is>
          <t>4-93-1681189.png</t>
        </is>
      </c>
      <c r="P94" t="inlineStr"/>
    </row>
    <row r="95">
      <c r="A95" t="n">
        <v>94</v>
      </c>
      <c r="B95" t="inlineStr">
        <is>
          <t>4</t>
        </is>
      </c>
      <c r="C95" t="inlineStr">
        <is>
          <t>10CSW01010</t>
        </is>
      </c>
      <c r="D95" t="inlineStr">
        <is>
          <t>Wallaby Avenir Coil System</t>
        </is>
      </c>
      <c r="E95" t="inlineStr"/>
      <c r="F95" t="inlineStr">
        <is>
          <t>mask_25</t>
        </is>
      </c>
      <c r="G95" t="n">
        <v>80</v>
      </c>
      <c r="H95" t="inlineStr">
        <is>
          <t>spec_2</t>
        </is>
      </c>
      <c r="I95" t="n">
        <v>50</v>
      </c>
      <c r="J95" t="n">
        <v>61.5</v>
      </c>
      <c r="K95" t="n">
        <v>100</v>
      </c>
      <c r="L95" t="n">
        <v>0</v>
      </c>
      <c r="M95" t="n">
        <v>80</v>
      </c>
      <c r="N95" t="inlineStr"/>
      <c r="O95" t="inlineStr">
        <is>
          <t>4-94-10CSW01010.png</t>
        </is>
      </c>
      <c r="P95" t="inlineStr"/>
    </row>
    <row r="96">
      <c r="A96" t="n">
        <v>95</v>
      </c>
      <c r="B96" t="inlineStr">
        <is>
          <t>4</t>
        </is>
      </c>
      <c r="C96" t="inlineStr">
        <is>
          <t>OPTI0204CSS10</t>
        </is>
      </c>
      <c r="D96" t="inlineStr">
        <is>
          <t>OPTIMA</t>
        </is>
      </c>
      <c r="E96" t="inlineStr"/>
      <c r="F96" t="inlineStr">
        <is>
          <t>mask_10</t>
        </is>
      </c>
      <c r="G96" t="n">
        <v>100</v>
      </c>
      <c r="H96" t="inlineStr">
        <is>
          <t>spec_2</t>
        </is>
      </c>
      <c r="I96" t="n">
        <v>47.6</v>
      </c>
      <c r="J96" t="n">
        <v>100</v>
      </c>
      <c r="K96" t="n">
        <v>0</v>
      </c>
      <c r="L96" t="n">
        <v>0</v>
      </c>
      <c r="M96" t="n">
        <v>100</v>
      </c>
      <c r="N96" t="inlineStr"/>
      <c r="O96" t="inlineStr">
        <is>
          <t>4-95-OPTI0204CSS10.png</t>
        </is>
      </c>
      <c r="P96" t="inlineStr"/>
    </row>
    <row r="97">
      <c r="A97" t="n">
        <v>96</v>
      </c>
      <c r="B97" t="inlineStr">
        <is>
          <t>4</t>
        </is>
      </c>
      <c r="C97" t="inlineStr">
        <is>
          <t>SSTD215STR</t>
        </is>
      </c>
      <c r="D97" t="inlineStr">
        <is>
          <t>Synchro SELECT</t>
        </is>
      </c>
      <c r="E97" t="inlineStr"/>
      <c r="F97" t="inlineStr">
        <is>
          <t>mask_27</t>
        </is>
      </c>
      <c r="G97" t="n">
        <v>100</v>
      </c>
      <c r="H97" t="inlineStr">
        <is>
          <t>ref</t>
        </is>
      </c>
      <c r="I97" t="n">
        <v>100</v>
      </c>
      <c r="J97" t="n">
        <v>100</v>
      </c>
      <c r="K97" t="n">
        <v>40</v>
      </c>
      <c r="L97" t="n">
        <v>0</v>
      </c>
      <c r="M97" t="n">
        <v>0</v>
      </c>
      <c r="N97" t="inlineStr"/>
      <c r="O97" t="inlineStr">
        <is>
          <t>4-96-SSTD215STR.png</t>
        </is>
      </c>
      <c r="P97" t="inlineStr"/>
    </row>
    <row r="98">
      <c r="A98" t="n">
        <v>97</v>
      </c>
      <c r="B98" t="inlineStr">
        <is>
          <t>4</t>
        </is>
      </c>
      <c r="C98" t="inlineStr">
        <is>
          <t>373-040830</t>
        </is>
      </c>
      <c r="D98" t="inlineStr">
        <is>
          <t>i-ED COIL</t>
        </is>
      </c>
      <c r="E98" t="inlineStr"/>
      <c r="F98" t="inlineStr">
        <is>
          <t>mask_15</t>
        </is>
      </c>
      <c r="G98" t="n">
        <v>80</v>
      </c>
      <c r="H98" t="inlineStr">
        <is>
          <t>spec_1</t>
        </is>
      </c>
      <c r="I98" t="n">
        <v>80</v>
      </c>
      <c r="J98" t="n">
        <v>80</v>
      </c>
      <c r="K98" t="n">
        <v>93.3</v>
      </c>
      <c r="L98" t="n">
        <v>80</v>
      </c>
      <c r="M98" t="n">
        <v>80</v>
      </c>
      <c r="N98" t="inlineStr"/>
      <c r="O98" t="inlineStr">
        <is>
          <t>4-97-373-040830.png</t>
        </is>
      </c>
      <c r="P98" t="inlineStr"/>
    </row>
    <row r="99">
      <c r="A99" t="n">
        <v>98</v>
      </c>
      <c r="B99" t="inlineStr">
        <is>
          <t>4</t>
        </is>
      </c>
      <c r="C99" t="inlineStr">
        <is>
          <t>612104</t>
        </is>
      </c>
      <c r="D99" t="inlineStr">
        <is>
          <t>Target XL</t>
        </is>
      </c>
      <c r="E99" t="inlineStr"/>
      <c r="F99" t="inlineStr">
        <is>
          <t>mask_9</t>
        </is>
      </c>
      <c r="G99" t="n">
        <v>100</v>
      </c>
      <c r="H99" t="inlineStr">
        <is>
          <t>display_name</t>
        </is>
      </c>
      <c r="I99" t="n">
        <v>100</v>
      </c>
      <c r="J99" t="n">
        <v>100</v>
      </c>
      <c r="K99" t="n">
        <v>62.5</v>
      </c>
      <c r="L99" t="n">
        <v>0</v>
      </c>
      <c r="M99" t="n">
        <v>0</v>
      </c>
      <c r="N99" t="inlineStr"/>
      <c r="O99" t="inlineStr">
        <is>
          <t>4-98-612104.png</t>
        </is>
      </c>
      <c r="P99" t="inlineStr"/>
    </row>
    <row r="100">
      <c r="A100" t="n">
        <v>99</v>
      </c>
      <c r="B100" t="inlineStr">
        <is>
          <t>4</t>
        </is>
      </c>
      <c r="C100" t="inlineStr">
        <is>
          <t>MC1715000</t>
        </is>
      </c>
      <c r="D100" t="inlineStr">
        <is>
          <t>pNOVUS</t>
        </is>
      </c>
      <c r="E100" t="inlineStr"/>
      <c r="F100" t="inlineStr">
        <is>
          <t>mask_19</t>
        </is>
      </c>
      <c r="G100" t="n">
        <v>80</v>
      </c>
      <c r="H100" t="inlineStr">
        <is>
          <t>spec_1</t>
        </is>
      </c>
      <c r="I100" t="n">
        <v>57.1</v>
      </c>
      <c r="J100" t="n">
        <v>100</v>
      </c>
      <c r="K100" t="n">
        <v>0</v>
      </c>
      <c r="L100" t="n">
        <v>80</v>
      </c>
      <c r="M100" t="n">
        <v>80</v>
      </c>
      <c r="N100" t="inlineStr"/>
      <c r="O100" t="inlineStr">
        <is>
          <t>4-99-MC1715000.png</t>
        </is>
      </c>
      <c r="P100" t="inlineStr"/>
    </row>
    <row r="101">
      <c r="A101" s="4" t="n">
        <v>100</v>
      </c>
      <c r="B101" s="4" t="inlineStr">
        <is>
          <t>4</t>
        </is>
      </c>
      <c r="C101" s="4" t="inlineStr">
        <is>
          <t>APB-2-3-HX-ES</t>
        </is>
      </c>
      <c r="D101" s="4" t="inlineStr">
        <is>
          <t>Axium Prime</t>
        </is>
      </c>
      <c r="E101" s="4" t="inlineStr"/>
      <c r="F101" s="4" t="inlineStr">
        <is>
          <t>該当なし</t>
        </is>
      </c>
      <c r="G101" s="4" t="n"/>
      <c r="H101" s="4" t="inlineStr"/>
      <c r="I101" s="4" t="n"/>
      <c r="J101" s="4" t="n"/>
      <c r="K101" s="4" t="n"/>
      <c r="L101" s="4" t="n"/>
      <c r="M101" s="4" t="n"/>
      <c r="N101" s="4" t="inlineStr"/>
      <c r="O101" s="4" t="inlineStr">
        <is>
          <t>4-100-APB-2-3-HX-ES.png</t>
        </is>
      </c>
      <c r="P101" s="4" t="inlineStr"/>
    </row>
    <row r="102">
      <c r="A102" t="n">
        <v>101</v>
      </c>
      <c r="B102" t="inlineStr">
        <is>
          <t>5</t>
        </is>
      </c>
      <c r="C102" t="inlineStr">
        <is>
          <t>10CSW02020</t>
        </is>
      </c>
      <c r="D102" t="inlineStr">
        <is>
          <t>Wallaby Avenir Coil System</t>
        </is>
      </c>
      <c r="E102" t="inlineStr"/>
      <c r="F102" t="inlineStr">
        <is>
          <t>mask_20</t>
        </is>
      </c>
      <c r="G102" t="n">
        <v>80</v>
      </c>
      <c r="H102" t="inlineStr">
        <is>
          <t>spec_2</t>
        </is>
      </c>
      <c r="I102" t="n">
        <v>50</v>
      </c>
      <c r="J102" t="n">
        <v>61.5</v>
      </c>
      <c r="K102" t="n">
        <v>87.5</v>
      </c>
      <c r="L102" t="n">
        <v>0</v>
      </c>
      <c r="M102" t="n">
        <v>80</v>
      </c>
      <c r="N102" t="inlineStr"/>
      <c r="O102" t="inlineStr">
        <is>
          <t>5-101-10CSW02020.png</t>
        </is>
      </c>
      <c r="P102" t="inlineStr"/>
    </row>
    <row r="103">
      <c r="A103" t="n">
        <v>102</v>
      </c>
      <c r="B103" t="inlineStr">
        <is>
          <t>5</t>
        </is>
      </c>
      <c r="C103" t="inlineStr">
        <is>
          <t>AIN-CKI-200R</t>
        </is>
      </c>
      <c r="D103" t="inlineStr">
        <is>
          <t>CHIKAI</t>
        </is>
      </c>
      <c r="E103" t="inlineStr"/>
      <c r="F103" t="inlineStr">
        <is>
          <t>mask_27</t>
        </is>
      </c>
      <c r="G103" t="n">
        <v>100</v>
      </c>
      <c r="H103" t="inlineStr">
        <is>
          <t>spec_2</t>
        </is>
      </c>
      <c r="I103" t="n">
        <v>41.7</v>
      </c>
      <c r="J103" t="n">
        <v>100</v>
      </c>
      <c r="K103" t="n">
        <v>0</v>
      </c>
      <c r="L103" t="n">
        <v>80</v>
      </c>
      <c r="M103" t="n">
        <v>100</v>
      </c>
      <c r="N103" t="inlineStr"/>
      <c r="O103" t="inlineStr">
        <is>
          <t>5-102-AIN-CKI-200R.png</t>
        </is>
      </c>
      <c r="P103" t="inlineStr"/>
    </row>
    <row r="104">
      <c r="A104" t="n">
        <v>103</v>
      </c>
      <c r="B104" t="inlineStr">
        <is>
          <t>5</t>
        </is>
      </c>
      <c r="C104" t="inlineStr">
        <is>
          <t>MONORAIL</t>
        </is>
      </c>
      <c r="D104" t="inlineStr">
        <is>
          <t>Coyote ES</t>
        </is>
      </c>
      <c r="E104" t="inlineStr"/>
      <c r="F104" t="inlineStr">
        <is>
          <t>mask_25</t>
        </is>
      </c>
      <c r="G104" t="n">
        <v>100</v>
      </c>
      <c r="H104" t="inlineStr">
        <is>
          <t>ref</t>
        </is>
      </c>
      <c r="I104" t="n">
        <v>100</v>
      </c>
      <c r="J104" t="n">
        <v>88.90000000000001</v>
      </c>
      <c r="K104" t="n">
        <v>0</v>
      </c>
      <c r="L104" t="n">
        <v>0</v>
      </c>
      <c r="M104" t="n">
        <v>0</v>
      </c>
      <c r="N104" t="inlineStr"/>
      <c r="O104" t="inlineStr">
        <is>
          <t>5-103-MONORAIL.png</t>
        </is>
      </c>
      <c r="P104" t="inlineStr"/>
    </row>
    <row r="105">
      <c r="A105" t="n">
        <v>104</v>
      </c>
      <c r="B105" t="inlineStr">
        <is>
          <t>5</t>
        </is>
      </c>
      <c r="C105" t="inlineStr">
        <is>
          <t>ESC0407</t>
        </is>
      </c>
      <c r="D105" t="inlineStr">
        <is>
          <t>TransForm</t>
        </is>
      </c>
      <c r="E105" t="inlineStr"/>
      <c r="F105" t="inlineStr">
        <is>
          <t>mask_17</t>
        </is>
      </c>
      <c r="G105" t="n">
        <v>100</v>
      </c>
      <c r="H105" t="inlineStr">
        <is>
          <t>spec_1</t>
        </is>
      </c>
      <c r="I105" t="n">
        <v>100</v>
      </c>
      <c r="J105" t="n">
        <v>100</v>
      </c>
      <c r="K105" t="n">
        <v>62.5</v>
      </c>
      <c r="L105" t="n">
        <v>100</v>
      </c>
      <c r="M105" t="n">
        <v>0</v>
      </c>
      <c r="N105" t="inlineStr"/>
      <c r="O105" t="inlineStr">
        <is>
          <t>5-104-ESC0407.png</t>
        </is>
      </c>
      <c r="P105" t="inlineStr"/>
    </row>
    <row r="106">
      <c r="A106" s="4" t="n">
        <v>105</v>
      </c>
      <c r="B106" s="4" t="inlineStr">
        <is>
          <t>5</t>
        </is>
      </c>
      <c r="C106" s="4" t="inlineStr">
        <is>
          <t>MAT-110-110</t>
        </is>
      </c>
      <c r="D106" s="4" t="inlineStr">
        <is>
          <t>Riptide Large Bore Aspiration Tubing</t>
        </is>
      </c>
      <c r="E106" s="4" t="inlineStr"/>
      <c r="F106" s="4" t="inlineStr">
        <is>
          <t>該当なし</t>
        </is>
      </c>
      <c r="G106" s="4" t="n"/>
      <c r="H106" s="4" t="inlineStr"/>
      <c r="I106" s="4" t="n"/>
      <c r="J106" s="4" t="n"/>
      <c r="K106" s="4" t="n"/>
      <c r="L106" s="4" t="n"/>
      <c r="M106" s="4" t="n"/>
      <c r="N106" s="4" t="inlineStr"/>
      <c r="O106" s="4" t="inlineStr">
        <is>
          <t>5-105-MAT-110-110.png</t>
        </is>
      </c>
      <c r="P106" s="4" t="inlineStr"/>
    </row>
    <row r="107">
      <c r="A107" t="n">
        <v>106</v>
      </c>
      <c r="B107" t="inlineStr">
        <is>
          <t>5</t>
        </is>
      </c>
      <c r="C107" t="inlineStr">
        <is>
          <t>XT275081</t>
        </is>
      </c>
      <c r="D107" t="inlineStr">
        <is>
          <t>Excelsior XT-27</t>
        </is>
      </c>
      <c r="E107" t="inlineStr"/>
      <c r="F107" t="inlineStr">
        <is>
          <t>mask_6</t>
        </is>
      </c>
      <c r="G107" t="n">
        <v>100</v>
      </c>
      <c r="H107" t="inlineStr">
        <is>
          <t>ref</t>
        </is>
      </c>
      <c r="I107" t="n">
        <v>100</v>
      </c>
      <c r="J107" t="n">
        <v>93.3</v>
      </c>
      <c r="K107" t="n">
        <v>75</v>
      </c>
      <c r="L107" t="n">
        <v>0</v>
      </c>
      <c r="M107" t="n">
        <v>0</v>
      </c>
      <c r="N107" t="inlineStr"/>
      <c r="O107" t="inlineStr">
        <is>
          <t>5-106-XT275081.png</t>
        </is>
      </c>
      <c r="P107" t="inlineStr"/>
    </row>
    <row r="108">
      <c r="A108" t="n">
        <v>107</v>
      </c>
      <c r="B108" t="inlineStr">
        <is>
          <t>5</t>
        </is>
      </c>
      <c r="C108" t="inlineStr">
        <is>
          <t>OPTI0408CSS10</t>
        </is>
      </c>
      <c r="D108" t="inlineStr">
        <is>
          <t>OPTIMA</t>
        </is>
      </c>
      <c r="E108" t="inlineStr"/>
      <c r="F108" t="inlineStr">
        <is>
          <t>mask_15</t>
        </is>
      </c>
      <c r="G108" t="n">
        <v>100</v>
      </c>
      <c r="H108" t="inlineStr">
        <is>
          <t>spec_1</t>
        </is>
      </c>
      <c r="I108" t="n">
        <v>47.6</v>
      </c>
      <c r="J108" t="n">
        <v>100</v>
      </c>
      <c r="K108" t="n">
        <v>0</v>
      </c>
      <c r="L108" t="n">
        <v>100</v>
      </c>
      <c r="M108" t="n">
        <v>100</v>
      </c>
      <c r="N108" t="inlineStr"/>
      <c r="O108" t="inlineStr">
        <is>
          <t>5-107-OPTI0408CSS10.png</t>
        </is>
      </c>
      <c r="P108" t="inlineStr"/>
    </row>
    <row r="109">
      <c r="A109" t="n">
        <v>108</v>
      </c>
      <c r="B109" t="inlineStr">
        <is>
          <t>5</t>
        </is>
      </c>
      <c r="C109" t="inlineStr">
        <is>
          <t>ESC0305</t>
        </is>
      </c>
      <c r="D109" t="inlineStr">
        <is>
          <t>TransForm</t>
        </is>
      </c>
      <c r="E109" t="inlineStr"/>
      <c r="F109" t="inlineStr">
        <is>
          <t>mask_12</t>
        </is>
      </c>
      <c r="G109" t="n">
        <v>100</v>
      </c>
      <c r="H109" t="inlineStr">
        <is>
          <t>spec_1</t>
        </is>
      </c>
      <c r="I109" t="n">
        <v>100</v>
      </c>
      <c r="J109" t="n">
        <v>100</v>
      </c>
      <c r="K109" t="n">
        <v>100</v>
      </c>
      <c r="L109" t="n">
        <v>100</v>
      </c>
      <c r="M109" t="n">
        <v>80</v>
      </c>
      <c r="N109" t="inlineStr"/>
      <c r="O109" t="inlineStr">
        <is>
          <t>5-108-ESC0305.png</t>
        </is>
      </c>
      <c r="P109" t="inlineStr"/>
    </row>
    <row r="110">
      <c r="A110" t="n">
        <v>109</v>
      </c>
      <c r="B110" t="inlineStr">
        <is>
          <t>5</t>
        </is>
      </c>
      <c r="C110" t="inlineStr">
        <is>
          <t>MIV-2N316</t>
        </is>
      </c>
      <c r="D110" t="inlineStr">
        <is>
          <t>Defrictor</t>
        </is>
      </c>
      <c r="E110" t="inlineStr"/>
      <c r="F110" t="inlineStr">
        <is>
          <t>mask_18</t>
        </is>
      </c>
      <c r="G110" t="n">
        <v>100</v>
      </c>
      <c r="H110" t="inlineStr">
        <is>
          <t>display_name</t>
        </is>
      </c>
      <c r="I110" t="n">
        <v>66.7</v>
      </c>
      <c r="J110" t="n">
        <v>100</v>
      </c>
      <c r="K110" t="n">
        <v>100</v>
      </c>
      <c r="L110" t="n">
        <v>0</v>
      </c>
      <c r="M110" t="n">
        <v>0</v>
      </c>
      <c r="N110" t="inlineStr"/>
      <c r="O110" t="inlineStr">
        <is>
          <t>5-109-MIV-2N316.png</t>
        </is>
      </c>
      <c r="P110" t="inlineStr"/>
    </row>
    <row r="111">
      <c r="A111" t="n">
        <v>110</v>
      </c>
      <c r="B111" t="inlineStr">
        <is>
          <t>5</t>
        </is>
      </c>
      <c r="C111" t="inlineStr">
        <is>
          <t>OPTI0152CSS10</t>
        </is>
      </c>
      <c r="D111" t="inlineStr">
        <is>
          <t>OPTIMA</t>
        </is>
      </c>
      <c r="E111" t="inlineStr"/>
      <c r="F111" t="inlineStr">
        <is>
          <t>mask_9</t>
        </is>
      </c>
      <c r="G111" t="n">
        <v>100</v>
      </c>
      <c r="H111" t="inlineStr">
        <is>
          <t>spec_1</t>
        </is>
      </c>
      <c r="I111" t="n">
        <v>50</v>
      </c>
      <c r="J111" t="n">
        <v>100</v>
      </c>
      <c r="K111" t="n">
        <v>0</v>
      </c>
      <c r="L111" t="n">
        <v>100</v>
      </c>
      <c r="M111" t="n">
        <v>100</v>
      </c>
      <c r="N111" t="inlineStr"/>
      <c r="O111" t="inlineStr">
        <is>
          <t>5-110-OPTI0152CSS10.png</t>
        </is>
      </c>
      <c r="P111" t="inlineStr"/>
    </row>
    <row r="112">
      <c r="A112" t="n">
        <v>111</v>
      </c>
      <c r="B112" t="inlineStr">
        <is>
          <t>5</t>
        </is>
      </c>
      <c r="C112" t="inlineStr">
        <is>
          <t>C1775ST</t>
        </is>
      </c>
      <c r="D112" t="inlineStr">
        <is>
          <t>Excelsior XT-17</t>
        </is>
      </c>
      <c r="E112" t="inlineStr"/>
      <c r="F112" t="inlineStr">
        <is>
          <t>mask_3</t>
        </is>
      </c>
      <c r="G112" t="n">
        <v>80</v>
      </c>
      <c r="H112" t="inlineStr">
        <is>
          <t>spec_1</t>
        </is>
      </c>
      <c r="I112" t="n">
        <v>57.1</v>
      </c>
      <c r="J112" t="n">
        <v>96.59999999999999</v>
      </c>
      <c r="K112" t="n">
        <v>100</v>
      </c>
      <c r="L112" t="n">
        <v>80</v>
      </c>
      <c r="M112" t="n">
        <v>0</v>
      </c>
      <c r="N112" t="inlineStr"/>
      <c r="O112" t="inlineStr">
        <is>
          <t>5-111-C1775ST.png</t>
        </is>
      </c>
      <c r="P112" t="inlineStr"/>
    </row>
    <row r="113">
      <c r="A113" s="4" t="n">
        <v>112</v>
      </c>
      <c r="B113" s="4" t="inlineStr">
        <is>
          <t>5</t>
        </is>
      </c>
      <c r="C113" s="4" t="inlineStr">
        <is>
          <t>FG13160-0615-1S</t>
        </is>
      </c>
      <c r="D113" s="4" t="inlineStr">
        <is>
          <t>Phenom</t>
        </is>
      </c>
      <c r="E113" s="4" t="inlineStr"/>
      <c r="F113" s="4" t="inlineStr">
        <is>
          <t>該当なし</t>
        </is>
      </c>
      <c r="G113" s="4" t="n"/>
      <c r="H113" s="4" t="inlineStr"/>
      <c r="I113" s="4" t="n"/>
      <c r="J113" s="4" t="n"/>
      <c r="K113" s="4" t="n"/>
      <c r="L113" s="4" t="n"/>
      <c r="M113" s="4" t="n"/>
      <c r="N113" s="4" t="inlineStr"/>
      <c r="O113" s="4" t="inlineStr">
        <is>
          <t>5-112-FG13160-0615-1S.png</t>
        </is>
      </c>
      <c r="P113" s="4" t="inlineStr"/>
    </row>
    <row r="114">
      <c r="A114" t="n">
        <v>113</v>
      </c>
      <c r="B114" t="inlineStr">
        <is>
          <t>5</t>
        </is>
      </c>
      <c r="C114" t="inlineStr">
        <is>
          <t>DAC6F115</t>
        </is>
      </c>
      <c r="D114" t="inlineStr">
        <is>
          <t>Esperance Distal Access Catheter</t>
        </is>
      </c>
      <c r="E114" t="inlineStr"/>
      <c r="F114" t="inlineStr">
        <is>
          <t>mask_2</t>
        </is>
      </c>
      <c r="G114" t="n">
        <v>100</v>
      </c>
      <c r="H114" t="inlineStr">
        <is>
          <t>spec_1</t>
        </is>
      </c>
      <c r="I114" t="n">
        <v>71.40000000000001</v>
      </c>
      <c r="J114" t="n">
        <v>71.90000000000001</v>
      </c>
      <c r="K114" t="n">
        <v>0</v>
      </c>
      <c r="L114" t="n">
        <v>100</v>
      </c>
      <c r="M114" t="n">
        <v>100</v>
      </c>
      <c r="N114" t="inlineStr"/>
      <c r="O114" t="inlineStr">
        <is>
          <t>5-113-DAC6F115.png</t>
        </is>
      </c>
      <c r="P114" t="inlineStr"/>
    </row>
    <row r="115">
      <c r="A115" t="n">
        <v>114</v>
      </c>
      <c r="B115" t="inlineStr">
        <is>
          <t>5</t>
        </is>
      </c>
      <c r="C115" t="inlineStr">
        <is>
          <t>SD-40040</t>
        </is>
      </c>
      <c r="D115" t="inlineStr">
        <is>
          <t>SHIDEN</t>
        </is>
      </c>
      <c r="E115" t="inlineStr"/>
      <c r="F115" t="inlineStr">
        <is>
          <t>mask_23</t>
        </is>
      </c>
      <c r="G115" t="n">
        <v>80</v>
      </c>
      <c r="H115" t="inlineStr">
        <is>
          <t>spec_2</t>
        </is>
      </c>
      <c r="I115" t="n">
        <v>100</v>
      </c>
      <c r="J115" t="n">
        <v>100</v>
      </c>
      <c r="K115" t="n">
        <v>0</v>
      </c>
      <c r="L115" t="n">
        <v>0</v>
      </c>
      <c r="M115" t="n">
        <v>80</v>
      </c>
      <c r="N115" t="inlineStr"/>
      <c r="O115" t="inlineStr">
        <is>
          <t>5-114-SD-40040.png</t>
        </is>
      </c>
      <c r="P115" t="inlineStr"/>
    </row>
    <row r="116">
      <c r="A116" t="n">
        <v>115</v>
      </c>
      <c r="B116" t="inlineStr">
        <is>
          <t>5</t>
        </is>
      </c>
      <c r="C116" t="inlineStr">
        <is>
          <t>KMDA044178</t>
        </is>
      </c>
      <c r="D116" t="inlineStr">
        <is>
          <t>Guidepost</t>
        </is>
      </c>
      <c r="E116" t="inlineStr"/>
      <c r="F116" t="inlineStr">
        <is>
          <t>mask_5</t>
        </is>
      </c>
      <c r="G116" t="n">
        <v>100</v>
      </c>
      <c r="H116" t="inlineStr">
        <is>
          <t>spec_2</t>
        </is>
      </c>
      <c r="I116" t="n">
        <v>90</v>
      </c>
      <c r="J116" t="n">
        <v>77.8</v>
      </c>
      <c r="K116" t="n">
        <v>14.3</v>
      </c>
      <c r="L116" t="n">
        <v>80</v>
      </c>
      <c r="M116" t="n">
        <v>100</v>
      </c>
      <c r="N116" t="inlineStr"/>
      <c r="O116" t="inlineStr">
        <is>
          <t>5-115-KMDA044178.png</t>
        </is>
      </c>
      <c r="P116" t="inlineStr"/>
    </row>
    <row r="117">
      <c r="A117" t="n">
        <v>116</v>
      </c>
      <c r="B117" t="inlineStr">
        <is>
          <t>5</t>
        </is>
      </c>
      <c r="C117" t="inlineStr">
        <is>
          <t>APB-1.5-2-HX-ES</t>
        </is>
      </c>
      <c r="D117" t="inlineStr">
        <is>
          <t>Axium Prime</t>
        </is>
      </c>
      <c r="E117" t="inlineStr"/>
      <c r="F117" t="inlineStr">
        <is>
          <t>mask_21</t>
        </is>
      </c>
      <c r="G117" t="n">
        <v>100</v>
      </c>
      <c r="H117" t="inlineStr">
        <is>
          <t>date</t>
        </is>
      </c>
      <c r="I117" t="n">
        <v>66.7</v>
      </c>
      <c r="J117" t="n">
        <v>44.4</v>
      </c>
      <c r="K117" t="n">
        <v>100</v>
      </c>
      <c r="L117" t="n">
        <v>0</v>
      </c>
      <c r="M117" t="n">
        <v>0</v>
      </c>
      <c r="N117" t="inlineStr"/>
      <c r="O117" t="inlineStr">
        <is>
          <t>5-116-APB-1.5-2-HX-ES.png</t>
        </is>
      </c>
      <c r="P117" t="inlineStr"/>
    </row>
    <row r="118">
      <c r="A118" s="4" t="n">
        <v>117</v>
      </c>
      <c r="B118" s="4" t="inlineStr">
        <is>
          <t>5</t>
        </is>
      </c>
      <c r="C118" s="4" t="inlineStr">
        <is>
          <t>SS2-40-070H</t>
        </is>
      </c>
      <c r="D118" s="4" t="inlineStr">
        <is>
          <t>SHOURYU2</t>
        </is>
      </c>
      <c r="E118" s="4" t="inlineStr"/>
      <c r="F118" s="4" t="inlineStr">
        <is>
          <t>該当なし</t>
        </is>
      </c>
      <c r="G118" s="4" t="n"/>
      <c r="H118" s="4" t="inlineStr"/>
      <c r="I118" s="4" t="n"/>
      <c r="J118" s="4" t="n"/>
      <c r="K118" s="4" t="n"/>
      <c r="L118" s="4" t="n"/>
      <c r="M118" s="4" t="n"/>
      <c r="N118" s="4" t="inlineStr"/>
      <c r="O118" s="4" t="inlineStr">
        <is>
          <t>5-117-SS2-40-070H.png</t>
        </is>
      </c>
      <c r="P118" s="4" t="inlineStr"/>
    </row>
    <row r="119">
      <c r="A119" t="n">
        <v>118</v>
      </c>
      <c r="B119" t="inlineStr">
        <is>
          <t>5</t>
        </is>
      </c>
      <c r="C119" t="inlineStr">
        <is>
          <t>1681189</t>
        </is>
      </c>
      <c r="D119" t="inlineStr">
        <is>
          <t>Excelsior SL-10</t>
        </is>
      </c>
      <c r="E119" t="inlineStr"/>
      <c r="F119" t="inlineStr">
        <is>
          <t>mask_7</t>
        </is>
      </c>
      <c r="G119" t="n">
        <v>80</v>
      </c>
      <c r="H119" t="inlineStr">
        <is>
          <t>spec_1</t>
        </is>
      </c>
      <c r="I119" t="n">
        <v>85.7</v>
      </c>
      <c r="J119" t="n">
        <v>93.3</v>
      </c>
      <c r="K119" t="n">
        <v>100</v>
      </c>
      <c r="L119" t="n">
        <v>80</v>
      </c>
      <c r="M119" t="n">
        <v>0</v>
      </c>
      <c r="N119" t="inlineStr"/>
      <c r="O119" t="inlineStr">
        <is>
          <t>5-118-1681189.png</t>
        </is>
      </c>
      <c r="P119" t="inlineStr"/>
    </row>
    <row r="120">
      <c r="A120" t="n">
        <v>119</v>
      </c>
      <c r="B120" t="inlineStr">
        <is>
          <t>5</t>
        </is>
      </c>
      <c r="C120" t="inlineStr">
        <is>
          <t>10CSW01010</t>
        </is>
      </c>
      <c r="D120" t="inlineStr">
        <is>
          <t>Wallaby Avenir Coil System</t>
        </is>
      </c>
      <c r="E120" t="inlineStr"/>
      <c r="F120" t="inlineStr">
        <is>
          <t>mask_19</t>
        </is>
      </c>
      <c r="G120" t="n">
        <v>80</v>
      </c>
      <c r="H120" t="inlineStr">
        <is>
          <t>spec_2</t>
        </is>
      </c>
      <c r="I120" t="n">
        <v>50</v>
      </c>
      <c r="J120" t="n">
        <v>61.5</v>
      </c>
      <c r="K120" t="n">
        <v>62.5</v>
      </c>
      <c r="L120" t="n">
        <v>0</v>
      </c>
      <c r="M120" t="n">
        <v>80</v>
      </c>
      <c r="N120" t="inlineStr"/>
      <c r="O120" t="inlineStr">
        <is>
          <t>5-119-10CSW01010.png</t>
        </is>
      </c>
      <c r="P120" t="inlineStr"/>
    </row>
    <row r="121">
      <c r="A121" s="4" t="n">
        <v>120</v>
      </c>
      <c r="B121" s="4" t="inlineStr">
        <is>
          <t>5</t>
        </is>
      </c>
      <c r="C121" s="4" t="inlineStr">
        <is>
          <t>OPTI0204CSS10</t>
        </is>
      </c>
      <c r="D121" s="4" t="inlineStr">
        <is>
          <t>OPTIMA</t>
        </is>
      </c>
      <c r="E121" s="4" t="inlineStr"/>
      <c r="F121" s="4" t="inlineStr">
        <is>
          <t>該当なし</t>
        </is>
      </c>
      <c r="G121" s="4" t="n"/>
      <c r="H121" s="4" t="inlineStr"/>
      <c r="I121" s="4" t="n"/>
      <c r="J121" s="4" t="n"/>
      <c r="K121" s="4" t="n"/>
      <c r="L121" s="4" t="n"/>
      <c r="M121" s="4" t="n"/>
      <c r="N121" s="4" t="inlineStr"/>
      <c r="O121" s="4" t="inlineStr">
        <is>
          <t>5-120-OPTI0204CSS10.png</t>
        </is>
      </c>
      <c r="P121" s="4" t="inlineStr"/>
    </row>
    <row r="122">
      <c r="A122" t="n">
        <v>121</v>
      </c>
      <c r="B122" t="inlineStr">
        <is>
          <t>5</t>
        </is>
      </c>
      <c r="C122" t="inlineStr">
        <is>
          <t>SSTD215STR</t>
        </is>
      </c>
      <c r="D122" t="inlineStr">
        <is>
          <t>Synchro SELECT</t>
        </is>
      </c>
      <c r="E122" t="inlineStr"/>
      <c r="F122" t="inlineStr">
        <is>
          <t>mask_16</t>
        </is>
      </c>
      <c r="G122" t="n">
        <v>100</v>
      </c>
      <c r="H122" t="inlineStr">
        <is>
          <t>spec_1</t>
        </is>
      </c>
      <c r="I122" t="n">
        <v>100</v>
      </c>
      <c r="J122" t="n">
        <v>100</v>
      </c>
      <c r="K122" t="n">
        <v>100</v>
      </c>
      <c r="L122" t="n">
        <v>100</v>
      </c>
      <c r="M122" t="n">
        <v>0</v>
      </c>
      <c r="N122" t="inlineStr"/>
      <c r="O122" t="inlineStr">
        <is>
          <t>5-121-SSTD215STR.png</t>
        </is>
      </c>
      <c r="P122" t="inlineStr"/>
    </row>
    <row r="123">
      <c r="A123" s="4" t="n">
        <v>122</v>
      </c>
      <c r="B123" s="4" t="inlineStr">
        <is>
          <t>5</t>
        </is>
      </c>
      <c r="C123" s="4" t="inlineStr">
        <is>
          <t>373-040830</t>
        </is>
      </c>
      <c r="D123" s="4" t="inlineStr">
        <is>
          <t>i-ED COIL</t>
        </is>
      </c>
      <c r="E123" s="4" t="inlineStr"/>
      <c r="F123" s="4" t="inlineStr">
        <is>
          <t>該当なし</t>
        </is>
      </c>
      <c r="G123" s="4" t="n"/>
      <c r="H123" s="4" t="inlineStr"/>
      <c r="I123" s="4" t="n"/>
      <c r="J123" s="4" t="n"/>
      <c r="K123" s="4" t="n"/>
      <c r="L123" s="4" t="n"/>
      <c r="M123" s="4" t="n"/>
      <c r="N123" s="4" t="inlineStr"/>
      <c r="O123" s="4" t="inlineStr">
        <is>
          <t>5-122-373-040830.png</t>
        </is>
      </c>
      <c r="P123" s="4" t="inlineStr"/>
    </row>
    <row r="124">
      <c r="A124" t="n">
        <v>123</v>
      </c>
      <c r="B124" t="inlineStr">
        <is>
          <t>5</t>
        </is>
      </c>
      <c r="C124" t="inlineStr">
        <is>
          <t>612104</t>
        </is>
      </c>
      <c r="D124" t="inlineStr">
        <is>
          <t>Target XL</t>
        </is>
      </c>
      <c r="E124" t="inlineStr"/>
      <c r="F124" t="inlineStr">
        <is>
          <t>mask_4</t>
        </is>
      </c>
      <c r="G124" t="n">
        <v>80</v>
      </c>
      <c r="H124" t="inlineStr">
        <is>
          <t>spec_1</t>
        </is>
      </c>
      <c r="I124" t="n">
        <v>100</v>
      </c>
      <c r="J124" t="n">
        <v>100</v>
      </c>
      <c r="K124" t="n">
        <v>62.5</v>
      </c>
      <c r="L124" t="n">
        <v>80</v>
      </c>
      <c r="M124" t="n">
        <v>80</v>
      </c>
      <c r="N124" t="inlineStr"/>
      <c r="O124" t="inlineStr">
        <is>
          <t>5-123-612104.png</t>
        </is>
      </c>
      <c r="P124" t="inlineStr"/>
    </row>
    <row r="125">
      <c r="A125" t="n">
        <v>124</v>
      </c>
      <c r="B125" t="inlineStr">
        <is>
          <t>5</t>
        </is>
      </c>
      <c r="C125" t="inlineStr">
        <is>
          <t>MC1715000</t>
        </is>
      </c>
      <c r="D125" t="inlineStr">
        <is>
          <t>pNOVUS</t>
        </is>
      </c>
      <c r="E125" t="inlineStr"/>
      <c r="F125" t="inlineStr">
        <is>
          <t>mask_1</t>
        </is>
      </c>
      <c r="G125" t="n">
        <v>80</v>
      </c>
      <c r="H125" t="inlineStr">
        <is>
          <t>spec_2</t>
        </is>
      </c>
      <c r="I125" t="n">
        <v>57.1</v>
      </c>
      <c r="J125" t="n">
        <v>90.90000000000001</v>
      </c>
      <c r="K125" t="n">
        <v>0</v>
      </c>
      <c r="L125" t="n">
        <v>0</v>
      </c>
      <c r="M125" t="n">
        <v>80</v>
      </c>
      <c r="N125" t="inlineStr"/>
      <c r="O125" t="inlineStr">
        <is>
          <t>5-124-MC1715000.png</t>
        </is>
      </c>
      <c r="P125" t="inlineStr"/>
    </row>
    <row r="126">
      <c r="A126" s="4" t="n">
        <v>125</v>
      </c>
      <c r="B126" s="4" t="inlineStr">
        <is>
          <t>5</t>
        </is>
      </c>
      <c r="C126" s="4" t="inlineStr">
        <is>
          <t>APB-2-3-HX-ES</t>
        </is>
      </c>
      <c r="D126" s="4" t="inlineStr">
        <is>
          <t>Axium Prime</t>
        </is>
      </c>
      <c r="E126" s="4" t="inlineStr"/>
      <c r="F126" s="4" t="inlineStr">
        <is>
          <t>該当なし</t>
        </is>
      </c>
      <c r="G126" s="4" t="n"/>
      <c r="H126" s="4" t="inlineStr"/>
      <c r="I126" s="4" t="n"/>
      <c r="J126" s="4" t="n"/>
      <c r="K126" s="4" t="n"/>
      <c r="L126" s="4" t="n"/>
      <c r="M126" s="4" t="n"/>
      <c r="N126" s="4" t="inlineStr"/>
      <c r="O126" s="4" t="inlineStr">
        <is>
          <t>5-125-APB-2-3-HX-ES.png</t>
        </is>
      </c>
      <c r="P126" s="4" t="inlineStr"/>
    </row>
  </sheetData>
  <dataValidations count="1">
    <dataValidation sqref="E2:E126" showDropDown="0" showInputMessage="0" showErrorMessage="0" allowBlank="1" type="list">
      <formula1>"T,F"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2026-09-29T06:36:13Z</dcterms:created>
  <dcterms:modified xmlns:dcterms="http://purl.org/dc/terms/" xmlns:xsi="http://www.w3.org/2001/XMLSchema-instance" xsi:type="dcterms:W3CDTF">2026-09-29T06:36:13Z</dcterms:modified>
</cp:coreProperties>
</file>